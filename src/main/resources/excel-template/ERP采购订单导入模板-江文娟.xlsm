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eho Lee\Desktop\work\javaweb\仓库管理系统\"/>
    </mc:Choice>
  </mc:AlternateContent>
  <bookViews>
    <workbookView xWindow="-285" yWindow="-15" windowWidth="12240" windowHeight="7725" tabRatio="779" activeTab="1"/>
  </bookViews>
  <sheets>
    <sheet name="使用说明" sheetId="3" r:id="rId1"/>
    <sheet name="采购订单导入" sheetId="1" r:id="rId2"/>
    <sheet name="Sheet2" sheetId="5" r:id="rId3"/>
    <sheet name="Sheet1" sheetId="6" r:id="rId4"/>
    <sheet name="Sheet3" sheetId="7" r:id="rId5"/>
    <sheet name="Sheet4" sheetId="8" r:id="rId6"/>
    <sheet name="Sheet5" sheetId="9" r:id="rId7"/>
  </sheets>
  <definedNames>
    <definedName name="_xlnm._FilterDatabase" localSheetId="2" hidden="1">Sheet2!$A$1:$G$41</definedName>
    <definedName name="_xlnm._FilterDatabase" localSheetId="1" hidden="1">采购订单导入!$A$2:$M$187</definedName>
    <definedName name="_xlnm.Print_Area" localSheetId="1">采购订单导入!$A$2:$E$185</definedName>
  </definedNames>
  <calcPr calcId="162913"/>
</workbook>
</file>

<file path=xl/calcChain.xml><?xml version="1.0" encoding="utf-8"?>
<calcChain xmlns="http://schemas.openxmlformats.org/spreadsheetml/2006/main">
  <c r="I12" i="7" l="1"/>
  <c r="I13" i="7"/>
  <c r="I14" i="7"/>
  <c r="I15" i="7"/>
  <c r="I16" i="7"/>
  <c r="I17" i="7"/>
  <c r="I18" i="7"/>
  <c r="I19" i="7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</calcChain>
</file>

<file path=xl/comments1.xml><?xml version="1.0" encoding="utf-8"?>
<comments xmlns="http://schemas.openxmlformats.org/spreadsheetml/2006/main">
  <authors>
    <author>ThinkPad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Class Name</t>
        </r>
        <r>
          <rPr>
            <b/>
            <sz val="9"/>
            <color indexed="81"/>
            <rFont val="宋体"/>
            <family val="3"/>
            <charset val="134"/>
          </rPr>
          <t>设置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首次使用前</t>
        </r>
        <r>
          <rPr>
            <sz val="9"/>
            <color indexed="81"/>
            <rFont val="Tahoma"/>
            <family val="2"/>
          </rPr>
          <t>Class Name</t>
        </r>
        <r>
          <rPr>
            <sz val="9"/>
            <color indexed="81"/>
            <rFont val="宋体"/>
            <family val="3"/>
            <charset val="134"/>
          </rPr>
          <t>需要修改成使用者自己电脑上的</t>
        </r>
        <r>
          <rPr>
            <sz val="9"/>
            <color indexed="81"/>
            <rFont val="Tahoma"/>
            <family val="2"/>
          </rPr>
          <t>Class Name</t>
        </r>
        <r>
          <rPr>
            <sz val="9"/>
            <color indexed="81"/>
            <rFont val="宋体"/>
            <family val="3"/>
            <charset val="134"/>
          </rPr>
          <t>，具体见下截图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技术员未给出毛刷寿命；
根据现场更换频率预算库存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技术员未给出毛刷寿命；
根据现场更换频率预算库存</t>
        </r>
      </text>
    </comment>
  </commentList>
</comments>
</file>

<file path=xl/sharedStrings.xml><?xml version="1.0" encoding="utf-8"?>
<sst xmlns="http://schemas.openxmlformats.org/spreadsheetml/2006/main" count="1659" uniqueCount="606">
  <si>
    <t>2.导入前先按模板格式整理好数据，前三个工作表即本工作表为固定工作表，不允许删除，工作表的表头行及导入列位置与顺序不允许增删除或修改</t>
    <phoneticPr fontId="5" type="noConversion"/>
  </si>
  <si>
    <t>6.通过此EXCEL工作簿导入的数据在ERP端将记录导入操作的用户与时间</t>
    <phoneticPr fontId="5" type="noConversion"/>
  </si>
  <si>
    <r>
      <t>以下</t>
    </r>
    <r>
      <rPr>
        <b/>
        <sz val="18"/>
        <color indexed="13"/>
        <rFont val="宋体"/>
        <family val="3"/>
        <charset val="134"/>
      </rPr>
      <t>黄色</t>
    </r>
    <r>
      <rPr>
        <b/>
        <sz val="18"/>
        <rFont val="宋体"/>
        <family val="3"/>
        <charset val="134"/>
      </rPr>
      <t>部分为首次使用用户设置修改</t>
    </r>
    <phoneticPr fontId="9" type="noConversion"/>
  </si>
  <si>
    <r>
      <t>3.在</t>
    </r>
    <r>
      <rPr>
        <sz val="11"/>
        <color indexed="8"/>
        <rFont val="宋体"/>
        <family val="3"/>
        <charset val="134"/>
      </rPr>
      <t>ERP未登录时</t>
    </r>
    <r>
      <rPr>
        <sz val="11"/>
        <color theme="1"/>
        <rFont val="宋体"/>
        <family val="3"/>
        <charset val="134"/>
        <scheme val="minor"/>
      </rPr>
      <t>导入的ERP公司使用的是用户默认的登录公司，需要在未登录前更改导入的公司请修改</t>
    </r>
    <r>
      <rPr>
        <sz val="11"/>
        <color indexed="8"/>
        <rFont val="宋体"/>
        <family val="3"/>
        <charset val="134"/>
      </rPr>
      <t>LN</t>
    </r>
    <r>
      <rPr>
        <sz val="11"/>
        <color theme="1"/>
        <rFont val="宋体"/>
        <family val="3"/>
        <charset val="134"/>
        <scheme val="minor"/>
      </rPr>
      <t>登录配置中的公司号，即“-set BSE_COMPNR=xxx”，“=”后面的即为公司号</t>
    </r>
    <phoneticPr fontId="5" type="noConversion"/>
  </si>
  <si>
    <r>
      <t>5.复制此EXCEL工作簿文件生成的新EXCEL工作簿文件导入功能仍然</t>
    </r>
    <r>
      <rPr>
        <sz val="11"/>
        <color theme="1"/>
        <rFont val="宋体"/>
        <family val="3"/>
        <charset val="134"/>
        <scheme val="minor"/>
      </rPr>
      <t>有效，用户可以保留原始的文件，在复制的新文件中进行操作</t>
    </r>
    <phoneticPr fontId="5" type="noConversion"/>
  </si>
  <si>
    <t>以下为使用说明，使用前请仔细阅读。</t>
    <phoneticPr fontId="5" type="noConversion"/>
  </si>
  <si>
    <t>7.日期格式支持“年-月-日”或“年/月/日”的格式，时间格式为“时:分:秒”的格式</t>
    <phoneticPr fontId="5" type="noConversion"/>
  </si>
  <si>
    <t>结果反馈</t>
    <phoneticPr fontId="2" type="noConversion"/>
  </si>
  <si>
    <t>操作步骤</t>
    <phoneticPr fontId="5" type="noConversion"/>
  </si>
  <si>
    <t>序号</t>
    <phoneticPr fontId="5" type="noConversion"/>
  </si>
  <si>
    <t>详细操作</t>
    <phoneticPr fontId="5" type="noConversion"/>
  </si>
  <si>
    <t>临时表数据：按照表格格式复制数据到Excel临时表数据中，并点击“导入临时表”按钮导入到临时表中</t>
    <phoneticPr fontId="5" type="noConversion"/>
  </si>
  <si>
    <t>数据检查导出：点击数据检查导出按钮生成订单导入各项数据检查信息，仔细核对检查数据。如无关键问题数据（无供应关系、标准成本和按仓库列出的物料），即可点击“生成ERP导入格式”按钮；如有关键问题数据，则应在临时表数据中删除问题数据，再导入临时表，生成检查数据进行检查，确保数据无关键数据问题后方才生成ERP导入格式数据</t>
    <phoneticPr fontId="5" type="noConversion"/>
  </si>
  <si>
    <t>采购订单导入：
  再次确认生成数据，确认要点如下：
    1、收货日期必须大于当前日期
    2、收货仓库必须在ERP存在
    3、订单数量必须大于0
    4、订购用途字符数量小于20个(10个中文字)</t>
    <phoneticPr fontId="5" type="noConversion"/>
  </si>
  <si>
    <t>操作步骤：</t>
    <phoneticPr fontId="5" type="noConversion"/>
  </si>
  <si>
    <t>ERP客户端登录Class Name设置</t>
    <phoneticPr fontId="9" type="noConversion"/>
  </si>
  <si>
    <t>1.由于导入时需要登录ERP客户端，首次使用前Class Name需要修改成使用者自己电脑上的Class Name见截图，用于识别用户ERP客户端的登录配置</t>
    <phoneticPr fontId="5" type="noConversion"/>
  </si>
  <si>
    <t>4.导入数据完成后将在数据的最后一列返回消息，消息内容中格式1：表示成功，0：表示失败，失败时会带上失败的原因</t>
    <phoneticPr fontId="5" type="noConversion"/>
  </si>
  <si>
    <t>3.点击工作表左上角“导入”按钮导入工作表数据至ERP，如果此前ERP客户端未打开并且登录配置中未保存用户名和密码，需要人工输入登录</t>
    <phoneticPr fontId="5" type="noConversion"/>
  </si>
  <si>
    <t>5.当前工作簿中只包含了一个格式模板工作表，如需要新建工作表，请使用“移动或复制工作表”-“建立复本”来复制模板工作表，以保证新工作表的格式及导入按钮功能</t>
    <phoneticPr fontId="5" type="noConversion"/>
  </si>
  <si>
    <t>注意事项：</t>
    <phoneticPr fontId="5" type="noConversion"/>
  </si>
  <si>
    <t>1.使用导入功能必须先安装了ERP客户端程序以及正确配置了登录信息</t>
    <phoneticPr fontId="5" type="noConversion"/>
  </si>
  <si>
    <t>右边为截图：</t>
    <phoneticPr fontId="5" type="noConversion"/>
  </si>
  <si>
    <t>2.ERP登录配置有多个时使用的是“默认设置”的配置，见截图</t>
    <phoneticPr fontId="5" type="noConversion"/>
  </si>
  <si>
    <r>
      <t>4</t>
    </r>
    <r>
      <rPr>
        <sz val="11"/>
        <color indexed="8"/>
        <rFont val="宋体"/>
        <family val="3"/>
        <charset val="134"/>
      </rPr>
      <t>.当ERP已经登录，则导入时不需要再次登录，并且导入的公司是当前已经登录或切换到的当前公司</t>
    </r>
    <phoneticPr fontId="5" type="noConversion"/>
  </si>
  <si>
    <t>资材编码</t>
    <phoneticPr fontId="15" type="noConversion"/>
  </si>
  <si>
    <t>资材名称</t>
    <phoneticPr fontId="15" type="noConversion"/>
  </si>
  <si>
    <t>供应商编码</t>
    <phoneticPr fontId="15" type="noConversion"/>
  </si>
  <si>
    <t>订购数量</t>
    <phoneticPr fontId="2" type="noConversion"/>
  </si>
  <si>
    <t>仓库编码</t>
    <phoneticPr fontId="2" type="noConversion"/>
  </si>
  <si>
    <t>在库区分</t>
    <phoneticPr fontId="15" type="noConversion"/>
  </si>
  <si>
    <t>申请部门</t>
    <phoneticPr fontId="15" type="noConversion"/>
  </si>
  <si>
    <t>出库原因代码</t>
    <phoneticPr fontId="15" type="noConversion"/>
  </si>
  <si>
    <t>资材订单批量录入模板</t>
    <phoneticPr fontId="15" type="noConversion"/>
  </si>
  <si>
    <t>资材规格</t>
    <phoneticPr fontId="2" type="noConversion"/>
  </si>
  <si>
    <t>订单头日期</t>
    <phoneticPr fontId="15" type="noConversion"/>
  </si>
  <si>
    <t>Baan.Application.fp9</t>
  </si>
  <si>
    <t>M9510018</t>
  </si>
  <si>
    <t>砂轮</t>
  </si>
  <si>
    <t>KK-AB000E99-A</t>
  </si>
  <si>
    <t>M9070098</t>
  </si>
  <si>
    <t>CBN刀片</t>
  </si>
  <si>
    <t>刀片</t>
  </si>
  <si>
    <t>钻头</t>
  </si>
  <si>
    <t>M9150049</t>
  </si>
  <si>
    <t>键槽铣刀</t>
  </si>
  <si>
    <t>4J103662</t>
  </si>
  <si>
    <t>立铣刀</t>
  </si>
  <si>
    <t>铰刀</t>
  </si>
  <si>
    <t>M9310220</t>
  </si>
  <si>
    <t>阶梯钻头</t>
  </si>
  <si>
    <t>DRS-W05A01/1</t>
  </si>
  <si>
    <t>M9510035</t>
  </si>
  <si>
    <t>M9510036</t>
  </si>
  <si>
    <t>M9510023</t>
  </si>
  <si>
    <t>M9510025</t>
  </si>
  <si>
    <t>M9510016</t>
  </si>
  <si>
    <t>M9510021</t>
  </si>
  <si>
    <t>M9510019</t>
  </si>
  <si>
    <t>M9510014</t>
  </si>
  <si>
    <t>M9510026</t>
  </si>
  <si>
    <t>RF-67681001-0</t>
  </si>
  <si>
    <t>KK-AB000F03-A</t>
  </si>
  <si>
    <t>ME-83881001-1</t>
  </si>
  <si>
    <t>KK-AB000F04-A</t>
  </si>
  <si>
    <t>砂轮（粗）</t>
  </si>
  <si>
    <t>M9070141</t>
  </si>
  <si>
    <t>WTB-B90A05/0</t>
  </si>
  <si>
    <t>M9150122</t>
  </si>
  <si>
    <t>阶梯铰刀</t>
  </si>
  <si>
    <t>RZS-W14A02/1</t>
  </si>
  <si>
    <t>M9070147</t>
  </si>
  <si>
    <t>T490 LNMT 1306PNTR IC5100</t>
  </si>
  <si>
    <t>M9310051</t>
  </si>
  <si>
    <t>深孔麻花钻</t>
  </si>
  <si>
    <t>DSS-W13A23/1</t>
  </si>
  <si>
    <t>M9140095</t>
  </si>
  <si>
    <t>MES-W20A17/0</t>
  </si>
  <si>
    <t>M9070128</t>
  </si>
  <si>
    <t>资材编号
(M表示签订开口合同)</t>
    <phoneticPr fontId="35" type="noConversion"/>
  </si>
  <si>
    <t>名称</t>
  </si>
  <si>
    <t>刃具型号</t>
  </si>
  <si>
    <t>2018年目标库存值</t>
    <phoneticPr fontId="34" type="noConversion"/>
  </si>
  <si>
    <t>M9930627</t>
  </si>
  <si>
    <t>M9930626</t>
  </si>
  <si>
    <t>M9930566</t>
  </si>
  <si>
    <t>平台珩(131)</t>
  </si>
  <si>
    <t>D-015 H30822 85.072-050</t>
  </si>
  <si>
    <t>精珩(131)</t>
  </si>
  <si>
    <t>D-091 H14505 85.070-035</t>
  </si>
  <si>
    <t>1.3T 凸轮轴孔?24</t>
  </si>
  <si>
    <t>GDB-N24A15/0</t>
    <phoneticPr fontId="35" type="noConversion"/>
  </si>
  <si>
    <t>M9930553</t>
  </si>
  <si>
    <t>M9930537</t>
  </si>
  <si>
    <t>M9930536</t>
    <phoneticPr fontId="35" type="noConversion"/>
  </si>
  <si>
    <t>凸轮轴孔毛刷（161）</t>
  </si>
  <si>
    <t>GDB-N26A14/0</t>
    <phoneticPr fontId="35" type="noConversion"/>
  </si>
  <si>
    <t>1.3T? (518孔)M14</t>
  </si>
  <si>
    <t>GDB-N14A26/0</t>
  </si>
  <si>
    <t>主油道孔?12(G系列）</t>
  </si>
  <si>
    <t>GDB-N13A20/0</t>
    <phoneticPr fontId="35" type="noConversion"/>
  </si>
  <si>
    <t>M9930535</t>
  </si>
  <si>
    <t>M9930534</t>
  </si>
  <si>
    <t>M9930533</t>
  </si>
  <si>
    <t>1.3T? 主油道孔?13.5</t>
  </si>
  <si>
    <t>GDB-N12A19/0</t>
    <phoneticPr fontId="35" type="noConversion"/>
  </si>
  <si>
    <t>1.3T 喷油嘴螺栓孔M10</t>
  </si>
  <si>
    <t>GDB-N11A23/0</t>
  </si>
  <si>
    <t>1.3T? 斜油孔?6</t>
  </si>
  <si>
    <t>GDB-N06A21/0</t>
  </si>
  <si>
    <t>M9710032</t>
  </si>
  <si>
    <t>M9340052</t>
  </si>
  <si>
    <t>M9150111</t>
  </si>
  <si>
    <t>M9150039</t>
  </si>
  <si>
    <t>孔毛刷</t>
  </si>
  <si>
    <t>GDB-N15A04/0</t>
  </si>
  <si>
    <t>RF-67671001-0</t>
    <phoneticPr fontId="36" type="noConversion"/>
  </si>
  <si>
    <t>KK-AB000E98-A</t>
    <phoneticPr fontId="35" type="noConversion"/>
  </si>
  <si>
    <t>KK-AB000E97-A</t>
    <phoneticPr fontId="35" type="noConversion"/>
  </si>
  <si>
    <t>KK-AB000F01-A</t>
    <phoneticPr fontId="35" type="noConversion"/>
  </si>
  <si>
    <t>RSS-W06A01/0</t>
  </si>
  <si>
    <t>T型铣刀</t>
  </si>
  <si>
    <t>MSL-W16A04/1</t>
  </si>
  <si>
    <t>锪刀</t>
  </si>
  <si>
    <t>ZTS-W32A29/2</t>
    <phoneticPr fontId="2" type="noConversion"/>
  </si>
  <si>
    <t>M9140097</t>
  </si>
  <si>
    <t>MES-W40A13/1</t>
  </si>
  <si>
    <t>085B765 014</t>
    <phoneticPr fontId="35" type="noConversion"/>
  </si>
  <si>
    <t>NE704</t>
    <phoneticPr fontId="35" type="noConversion"/>
  </si>
  <si>
    <t>WTF-B12A07/0</t>
    <phoneticPr fontId="35" type="noConversion"/>
  </si>
  <si>
    <t>M9340020</t>
  </si>
  <si>
    <t>RSS-W20A08/1</t>
  </si>
  <si>
    <t>M9310364</t>
  </si>
  <si>
    <t>DSS-W06A09/0</t>
  </si>
  <si>
    <t>M9310288</t>
  </si>
  <si>
    <t>DSS-W10A03/1</t>
  </si>
  <si>
    <t>M9310199</t>
  </si>
  <si>
    <t>直钻</t>
  </si>
  <si>
    <t>NO.5536-D3.5</t>
  </si>
  <si>
    <t>M9310083</t>
  </si>
  <si>
    <t>DSS-W07A28/0</t>
  </si>
  <si>
    <t>M9310044</t>
  </si>
  <si>
    <t>阶梯麻花钻</t>
  </si>
  <si>
    <t>DSS-W10A20/1</t>
  </si>
  <si>
    <t>M9150110</t>
  </si>
  <si>
    <t>RZS-W20A02/0</t>
  </si>
  <si>
    <t>在库数</t>
    <phoneticPr fontId="34" type="noConversion"/>
  </si>
  <si>
    <t>已订购数</t>
    <phoneticPr fontId="34" type="noConversion"/>
  </si>
  <si>
    <t>补下订单数</t>
    <phoneticPr fontId="34" type="noConversion"/>
  </si>
  <si>
    <t>EGPS</t>
    <phoneticPr fontId="2" type="noConversion"/>
  </si>
  <si>
    <t>错刃钻头</t>
  </si>
  <si>
    <t>M9941149</t>
  </si>
  <si>
    <t>DRS-W06A21/0</t>
  </si>
  <si>
    <t>M9070301</t>
  </si>
  <si>
    <t>SCMT09T304-PM 4315</t>
  </si>
  <si>
    <t>M9070300</t>
  </si>
  <si>
    <t>SNMG090308-QM 4325</t>
  </si>
  <si>
    <t>M9941413</t>
  </si>
  <si>
    <t>TPGX110304 HTi10</t>
  </si>
  <si>
    <t>M9941273</t>
  </si>
  <si>
    <t>ZTS-W22A37/0</t>
  </si>
  <si>
    <t>MS</t>
  </si>
  <si>
    <t>资材编码</t>
  </si>
  <si>
    <t>资材名称</t>
  </si>
  <si>
    <t>资材规格</t>
  </si>
  <si>
    <t>供应商编码</t>
  </si>
  <si>
    <t>订购数量</t>
  </si>
  <si>
    <t>仓库编码</t>
  </si>
  <si>
    <t>在库区分</t>
  </si>
  <si>
    <t>申请部门</t>
  </si>
  <si>
    <t>出库原因代码</t>
  </si>
  <si>
    <t>EGPS</t>
  </si>
  <si>
    <t>M7550121</t>
  </si>
  <si>
    <t xml:space="preserve">内六角螺栓     </t>
  </si>
  <si>
    <t xml:space="preserve">公制12.9级，M4*10 鹏驰 </t>
  </si>
  <si>
    <t>M7550123</t>
  </si>
  <si>
    <t>内六角螺栓</t>
  </si>
  <si>
    <t xml:space="preserve">公制12.9级，M4*20 鹏驰  </t>
  </si>
  <si>
    <t>M7550125</t>
  </si>
  <si>
    <t xml:space="preserve">内六角螺栓  </t>
  </si>
  <si>
    <t xml:space="preserve">公制12.9级，M4*30 鹏驰   </t>
  </si>
  <si>
    <t>M7550127</t>
  </si>
  <si>
    <t>公制12.9级，M4*40 鹏驰</t>
  </si>
  <si>
    <t>M7550129</t>
  </si>
  <si>
    <t>公制12.9级，M5*10 鹏驰</t>
  </si>
  <si>
    <t>M7550131</t>
  </si>
  <si>
    <t xml:space="preserve">公制12.9级，M5*20 鹏驰 </t>
  </si>
  <si>
    <t>M7550133</t>
  </si>
  <si>
    <t xml:space="preserve">内六角螺栓    </t>
  </si>
  <si>
    <t xml:space="preserve">公制12.9级，M5*30 鹏驰  </t>
  </si>
  <si>
    <t>M7550135</t>
  </si>
  <si>
    <t xml:space="preserve">公制12.9级，M5*40 鹏驰  </t>
  </si>
  <si>
    <t>M7550137</t>
  </si>
  <si>
    <t xml:space="preserve">公制12.9级，M6*10 鹏驰 </t>
  </si>
  <si>
    <t>M7550139</t>
  </si>
  <si>
    <t>公制12.9级，M6*20 鹏驰</t>
  </si>
  <si>
    <t>M7550141</t>
  </si>
  <si>
    <t xml:space="preserve">公制12.9级，M6*30 鹏驰   </t>
  </si>
  <si>
    <t>M7550143</t>
  </si>
  <si>
    <t>公制12.9级，M6*40 鹏驰</t>
  </si>
  <si>
    <t>M7550147</t>
  </si>
  <si>
    <t xml:space="preserve">内六角螺栓   </t>
  </si>
  <si>
    <t>公制12.9级，M8*16 鹏驰</t>
  </si>
  <si>
    <t>M7550148</t>
  </si>
  <si>
    <t xml:space="preserve">公制12.9级，M8*20 鹏驰       </t>
  </si>
  <si>
    <t>M7550150</t>
  </si>
  <si>
    <t xml:space="preserve">公制12.9级，M8*30 鹏驰 </t>
  </si>
  <si>
    <t>M7550152</t>
  </si>
  <si>
    <t xml:space="preserve">公制12.9级，M8*40 鹏驰   </t>
  </si>
  <si>
    <t>M7550154</t>
  </si>
  <si>
    <t xml:space="preserve">公制12.9级，M8*50 鹏驰  </t>
  </si>
  <si>
    <t>M7550161</t>
  </si>
  <si>
    <t xml:space="preserve">公制12.9级，M10*20 鹏驰  </t>
  </si>
  <si>
    <t>M7550163</t>
  </si>
  <si>
    <t xml:space="preserve">公制12.9级，M10*30 鹏驰  </t>
  </si>
  <si>
    <t>M7550177</t>
  </si>
  <si>
    <t xml:space="preserve">公制12.9级，M12*30  鹏驰   </t>
  </si>
  <si>
    <t>M7550200</t>
  </si>
  <si>
    <t>六角螺母</t>
  </si>
  <si>
    <t xml:space="preserve">M3 强度：12.9                                                                                                           </t>
  </si>
  <si>
    <t>M7550201</t>
  </si>
  <si>
    <t xml:space="preserve">M4 强度：12.9                                                                                                           </t>
  </si>
  <si>
    <t>M7550202</t>
  </si>
  <si>
    <t xml:space="preserve">M5 强度：12.9                                                                                                           </t>
  </si>
  <si>
    <t>M7550203</t>
  </si>
  <si>
    <t>M6 强度：12.9                                                                                                           </t>
  </si>
  <si>
    <t>M7550204</t>
  </si>
  <si>
    <t>M8 强度：12.9                                                                                                           </t>
  </si>
  <si>
    <t>M7550205</t>
  </si>
  <si>
    <t>M10 强度：12.9                                                                                                          </t>
  </si>
  <si>
    <t>M7550206</t>
  </si>
  <si>
    <t xml:space="preserve">M12 强度：12.9                                                                                                          </t>
  </si>
  <si>
    <t>M9942002</t>
  </si>
  <si>
    <t>PCD刀片</t>
  </si>
  <si>
    <t>WTF-D12A20/0</t>
  </si>
  <si>
    <t>M9942106</t>
  </si>
  <si>
    <t>PCD锪刀</t>
  </si>
  <si>
    <t>MES-D10A39/0</t>
  </si>
  <si>
    <t>M9941989</t>
  </si>
  <si>
    <t>T490 LNMT 1106PNTR IC810</t>
  </si>
  <si>
    <t>M9942332</t>
  </si>
  <si>
    <t>锁紧螺丝</t>
  </si>
  <si>
    <t>M9942335</t>
  </si>
  <si>
    <t>M9942330</t>
  </si>
  <si>
    <t>M9942331</t>
  </si>
  <si>
    <t>M9941983</t>
  </si>
  <si>
    <t>螺钉</t>
  </si>
  <si>
    <t>5513039-04</t>
  </si>
  <si>
    <t>M9942328</t>
  </si>
  <si>
    <t>AOS-4X12</t>
  </si>
  <si>
    <t>M9942323</t>
  </si>
  <si>
    <t>CS300590T</t>
  </si>
  <si>
    <t>M9941999</t>
  </si>
  <si>
    <t>CS300890T</t>
  </si>
  <si>
    <t>M9941984</t>
  </si>
  <si>
    <t>DNMG150408-QM 4315</t>
  </si>
  <si>
    <t>M9941962</t>
  </si>
  <si>
    <t>DSS-W03A04/0</t>
  </si>
  <si>
    <t>M9941140</t>
  </si>
  <si>
    <t>DSS-W08A28/0</t>
  </si>
  <si>
    <t>M9942032</t>
  </si>
  <si>
    <t>M5X11 TX25</t>
  </si>
  <si>
    <t>M9941143</t>
  </si>
  <si>
    <t>铣刀</t>
  </si>
  <si>
    <t>MES-W09A01/0</t>
  </si>
  <si>
    <t>M9942107</t>
  </si>
  <si>
    <t>花弁转接器螺栓（套）</t>
  </si>
  <si>
    <t>QCC45110</t>
  </si>
  <si>
    <t>M9942108</t>
  </si>
  <si>
    <t>移动金</t>
  </si>
  <si>
    <t>QCK35065</t>
  </si>
  <si>
    <t>M9942109</t>
  </si>
  <si>
    <t>花弁转接器螺栓</t>
  </si>
  <si>
    <t>QCN35110</t>
  </si>
  <si>
    <t>M9180442</t>
  </si>
  <si>
    <t>刀片倒棱砂轮</t>
  </si>
  <si>
    <t>SB102620 5 SDC1500 B3.0</t>
  </si>
  <si>
    <t>M9942327</t>
  </si>
  <si>
    <t>M9941988</t>
  </si>
  <si>
    <t>SNMG150612-QM 4325</t>
  </si>
  <si>
    <t>M9941991</t>
  </si>
  <si>
    <t>SOMX060304-DT IC908</t>
  </si>
  <si>
    <t>M9942110</t>
  </si>
  <si>
    <t>TLP-43</t>
  </si>
  <si>
    <t>M9941996</t>
  </si>
  <si>
    <t>TPGX080204 HTi10</t>
  </si>
  <si>
    <t>M9942325</t>
  </si>
  <si>
    <t>TPS25-1</t>
  </si>
  <si>
    <t>M9260015</t>
  </si>
  <si>
    <r>
      <t>U</t>
    </r>
    <r>
      <rPr>
        <sz val="11"/>
        <color indexed="8"/>
        <rFont val="微软雅黑"/>
        <family val="2"/>
        <charset val="134"/>
      </rPr>
      <t>钻刀杆</t>
    </r>
  </si>
  <si>
    <t>DQS-W22A01/0-GQ</t>
  </si>
  <si>
    <t>M9260016</t>
  </si>
  <si>
    <t>DQS-W23A01/0-GQ</t>
  </si>
  <si>
    <t>BB01</t>
  </si>
  <si>
    <t>毛刷</t>
  </si>
  <si>
    <t>阶梯钻</t>
  </si>
  <si>
    <t>M4320026</t>
  </si>
  <si>
    <t>钻头涂层</t>
  </si>
  <si>
    <t>M9340046</t>
  </si>
  <si>
    <t>ZC175</t>
  </si>
  <si>
    <t>DB01</t>
  </si>
  <si>
    <t>DB04</t>
  </si>
  <si>
    <t>欧士机（上海）精密工具有限公司</t>
  </si>
  <si>
    <t>丝锥</t>
  </si>
  <si>
    <t>M9310008</t>
  </si>
  <si>
    <t>大连富士工具有限公司</t>
  </si>
  <si>
    <t>麻花钻</t>
  </si>
  <si>
    <t>M9180258</t>
  </si>
  <si>
    <t>刀匣刀片锁紧螺钉</t>
  </si>
  <si>
    <t>M9070014</t>
  </si>
  <si>
    <t>M9370124</t>
  </si>
  <si>
    <t>钴领（常州）刀具有限公司</t>
  </si>
  <si>
    <t>M9370118</t>
  </si>
  <si>
    <t>M9370116</t>
  </si>
  <si>
    <t>M9941979</t>
  </si>
  <si>
    <t>广州市骐峰贸易有限公司</t>
  </si>
  <si>
    <t>M9942469</t>
  </si>
  <si>
    <t>M9720274</t>
  </si>
  <si>
    <t>广州市善工机械设备有限公司</t>
  </si>
  <si>
    <t>套筒</t>
  </si>
  <si>
    <t>M9930632</t>
  </si>
  <si>
    <t>洛阳市速奈精密工具有限公司</t>
  </si>
  <si>
    <t>刀片磨倒棱砂轮</t>
  </si>
  <si>
    <t>M9942049</t>
  </si>
  <si>
    <t>M9310415</t>
  </si>
  <si>
    <t>M9110024</t>
  </si>
  <si>
    <t>铣刀涂层</t>
  </si>
  <si>
    <t>M9942077</t>
  </si>
  <si>
    <t>PCD铰刀</t>
  </si>
  <si>
    <t>M9150091</t>
  </si>
  <si>
    <t>深圳市中天超硬工具股份有限公司</t>
  </si>
  <si>
    <t>金刚石铰刀研磨</t>
  </si>
  <si>
    <t>M9150117</t>
  </si>
  <si>
    <t>金刚石立铣刀研磨</t>
  </si>
  <si>
    <t>M9150116</t>
  </si>
  <si>
    <t>委外研磨刀具</t>
  </si>
  <si>
    <t>M9340039</t>
  </si>
  <si>
    <t>阶梯铰刀委外研磨</t>
  </si>
  <si>
    <t>M9340040</t>
  </si>
  <si>
    <t>M9510048</t>
  </si>
  <si>
    <t>北京金万众机械科技有限公司</t>
  </si>
  <si>
    <t>M9510043</t>
  </si>
  <si>
    <t>M9140083</t>
  </si>
  <si>
    <t>M9310012</t>
  </si>
  <si>
    <t>M9942517</t>
  </si>
  <si>
    <t>M9942518</t>
  </si>
  <si>
    <t>M9942523</t>
  </si>
  <si>
    <t>M9942524</t>
  </si>
  <si>
    <t>金刚石铰刀</t>
  </si>
  <si>
    <t>M9942526</t>
  </si>
  <si>
    <t>M9942530</t>
  </si>
  <si>
    <t>M9942533</t>
  </si>
  <si>
    <t>M9942535</t>
  </si>
  <si>
    <t>M9942536</t>
  </si>
  <si>
    <t>M9942504</t>
  </si>
  <si>
    <t>M9942529</t>
  </si>
  <si>
    <t>M9942494</t>
  </si>
  <si>
    <t>非标刀片</t>
  </si>
  <si>
    <t>M9942111</t>
  </si>
  <si>
    <t>M9310229</t>
  </si>
  <si>
    <t>M9942210</t>
  </si>
  <si>
    <t>M9942531</t>
  </si>
  <si>
    <t>金刚石刀片</t>
  </si>
  <si>
    <t>M9942105</t>
  </si>
  <si>
    <t>M9942112</t>
  </si>
  <si>
    <t>喉口锪刀</t>
  </si>
  <si>
    <t>M9942113</t>
  </si>
  <si>
    <t>M9942114</t>
  </si>
  <si>
    <t>M9942115</t>
  </si>
  <si>
    <t>M9942117</t>
  </si>
  <si>
    <t>M9942122</t>
  </si>
  <si>
    <t>槽铣刀</t>
  </si>
  <si>
    <t>M9942127</t>
  </si>
  <si>
    <t>M9942136</t>
  </si>
  <si>
    <t>M9942138</t>
  </si>
  <si>
    <t>M9942141</t>
  </si>
  <si>
    <t>M9942145</t>
  </si>
  <si>
    <t>M9942157</t>
  </si>
  <si>
    <t>M9942161</t>
  </si>
  <si>
    <t>M9942165</t>
  </si>
  <si>
    <t>M9942168</t>
  </si>
  <si>
    <t>M9942174</t>
  </si>
  <si>
    <t>M9942176</t>
  </si>
  <si>
    <t>M9942179</t>
  </si>
  <si>
    <t>M9942180</t>
  </si>
  <si>
    <t>M9942189</t>
  </si>
  <si>
    <t>M9942192</t>
  </si>
  <si>
    <t>M9942193</t>
  </si>
  <si>
    <t>M9942194</t>
  </si>
  <si>
    <t>M9942196</t>
  </si>
  <si>
    <t>M9942197</t>
  </si>
  <si>
    <t>M9942198</t>
  </si>
  <si>
    <t>M9942199</t>
  </si>
  <si>
    <t>M9942203</t>
  </si>
  <si>
    <t>PCD铣刀</t>
  </si>
  <si>
    <t>M9942214</t>
  </si>
  <si>
    <t>M9942215</t>
  </si>
  <si>
    <t>倒角刀</t>
  </si>
  <si>
    <t>M9942457</t>
  </si>
  <si>
    <t>M9942483</t>
  </si>
  <si>
    <t>M9942487</t>
  </si>
  <si>
    <t>M9942491</t>
  </si>
  <si>
    <t>M9942492</t>
  </si>
  <si>
    <t>M9942495</t>
  </si>
  <si>
    <t>M9942496</t>
  </si>
  <si>
    <t>M9942497</t>
  </si>
  <si>
    <t>M9942499</t>
  </si>
  <si>
    <t>M9942500</t>
  </si>
  <si>
    <t>M9942501</t>
  </si>
  <si>
    <t>M9942507</t>
  </si>
  <si>
    <t>球铣刀</t>
  </si>
  <si>
    <t>M9942512</t>
  </si>
  <si>
    <t>M9310389</t>
  </si>
  <si>
    <t>M9310313</t>
  </si>
  <si>
    <t>M9330037</t>
  </si>
  <si>
    <t>M9330030</t>
  </si>
  <si>
    <t>M4210118</t>
  </si>
  <si>
    <t>广东荣�新材料有限公司</t>
  </si>
  <si>
    <t>右半轴堵盖</t>
  </si>
  <si>
    <t>M9890113</t>
  </si>
  <si>
    <t>广州达宝文机电设备有限公司</t>
  </si>
  <si>
    <t>刻针</t>
  </si>
  <si>
    <t>M9270080</t>
  </si>
  <si>
    <t>广州市东原精密机械有限公司</t>
  </si>
  <si>
    <t>M9941313</t>
  </si>
  <si>
    <t>广州市进禾贸易有限公司</t>
  </si>
  <si>
    <t>滚压头轴向轴承（1J)</t>
  </si>
  <si>
    <t>M9941335</t>
  </si>
  <si>
    <t>滚压头滚轮笼(P部铜块）</t>
  </si>
  <si>
    <t>M9941336</t>
  </si>
  <si>
    <t>滚压头导向轮(P部)</t>
  </si>
  <si>
    <t>M9941338</t>
  </si>
  <si>
    <t>滚压头滚子</t>
  </si>
  <si>
    <t>M9941340</t>
  </si>
  <si>
    <t>滚压头导向轮(J部)</t>
  </si>
  <si>
    <t>M9941341</t>
  </si>
  <si>
    <t>滚压头滚轮笼(J部铜块）</t>
  </si>
  <si>
    <t>M9610012</t>
  </si>
  <si>
    <t>TORX星型螺钉替换式扭力起子杆</t>
  </si>
  <si>
    <t>M9610015</t>
  </si>
  <si>
    <t>TORX星形螺钉替换式扭力起子杆</t>
  </si>
  <si>
    <t>M9610016</t>
  </si>
  <si>
    <t>M9650017</t>
  </si>
  <si>
    <t>T型内六角扳手</t>
  </si>
  <si>
    <t>M9650018</t>
  </si>
  <si>
    <t>M9650019</t>
  </si>
  <si>
    <t>M9610013</t>
  </si>
  <si>
    <t>M9890111</t>
  </si>
  <si>
    <t>广州市明升伟业机电有限公司</t>
  </si>
  <si>
    <t>2B200红宝石探针</t>
  </si>
  <si>
    <t>M9890112</t>
  </si>
  <si>
    <t>测针</t>
  </si>
  <si>
    <t>M9760607</t>
  </si>
  <si>
    <t>公制加长球头内六角扳手</t>
  </si>
  <si>
    <t>M9760241</t>
  </si>
  <si>
    <t>公制球头内六角扳手</t>
  </si>
  <si>
    <t>M9941980</t>
  </si>
  <si>
    <t>M9580019</t>
  </si>
  <si>
    <t>砂轮金刚笔</t>
  </si>
  <si>
    <t>M9580020</t>
  </si>
  <si>
    <t>M9510049</t>
  </si>
  <si>
    <t>M4320022</t>
  </si>
  <si>
    <t>M9941976</t>
  </si>
  <si>
    <t>M9941977</t>
  </si>
  <si>
    <t>M9942464</t>
  </si>
  <si>
    <t>M9942465</t>
  </si>
  <si>
    <t>M9942466</t>
  </si>
  <si>
    <t>M9942467</t>
  </si>
  <si>
    <t>M9942468</t>
  </si>
  <si>
    <t>M9720309</t>
  </si>
  <si>
    <t>M9941071</t>
  </si>
  <si>
    <t>广州市速力源工具有限公司</t>
  </si>
  <si>
    <t>精珩磨</t>
  </si>
  <si>
    <t>M9941072</t>
  </si>
  <si>
    <t>粗珩磨</t>
  </si>
  <si>
    <t>M8610012</t>
  </si>
  <si>
    <t>广州市众茂机电设备有限公司</t>
  </si>
  <si>
    <t>502胶水</t>
  </si>
  <si>
    <t>M9650016</t>
  </si>
  <si>
    <t>检知销</t>
  </si>
  <si>
    <t>M9750418</t>
  </si>
  <si>
    <t>广州信邦智能装备股份有限公司</t>
  </si>
  <si>
    <t>M9930721</t>
  </si>
  <si>
    <t>瓜生UEP系列电动拧紧工具保养</t>
  </si>
  <si>
    <t>M9750334</t>
  </si>
  <si>
    <t>M9930724</t>
  </si>
  <si>
    <t>东日ACLS系列气动拧紧工具保养</t>
  </si>
  <si>
    <t>M9941995</t>
  </si>
  <si>
    <t>力丰机床（上海）有限公司</t>
  </si>
  <si>
    <t>M9260018</t>
  </si>
  <si>
    <t>U钻刀杆</t>
  </si>
  <si>
    <t>M9941386</t>
  </si>
  <si>
    <t>45°CBN刀片</t>
  </si>
  <si>
    <t>M9941992</t>
  </si>
  <si>
    <t>M9942366</t>
  </si>
  <si>
    <t>半精镗刀夹</t>
  </si>
  <si>
    <t>M9942365</t>
  </si>
  <si>
    <t>精镗刀夹</t>
  </si>
  <si>
    <t>M9942364</t>
  </si>
  <si>
    <t>M9942363</t>
  </si>
  <si>
    <t>M9941389</t>
  </si>
  <si>
    <t>M9260009</t>
  </si>
  <si>
    <t>倒角刀片</t>
  </si>
  <si>
    <t>M9370136</t>
  </si>
  <si>
    <t>M9330046</t>
  </si>
  <si>
    <t>M9330066</t>
  </si>
  <si>
    <t>钻头研磨+涂层</t>
  </si>
  <si>
    <t>M9942055</t>
  </si>
  <si>
    <t>M9330044</t>
  </si>
  <si>
    <t>M9330043</t>
  </si>
  <si>
    <t>M9310401</t>
  </si>
  <si>
    <t>M9941132</t>
  </si>
  <si>
    <t>M9941139</t>
  </si>
  <si>
    <t>M9941144</t>
  </si>
  <si>
    <t>M9320004</t>
  </si>
  <si>
    <t>M9320010</t>
  </si>
  <si>
    <t>M9320011</t>
  </si>
  <si>
    <t>M9320014</t>
  </si>
  <si>
    <t>M9320017</t>
  </si>
  <si>
    <t>M9320018</t>
  </si>
  <si>
    <t>M9942090</t>
  </si>
  <si>
    <t>挤压丝锥</t>
  </si>
  <si>
    <t>M9942095</t>
  </si>
  <si>
    <t>M9942053</t>
  </si>
  <si>
    <t>M9310406</t>
  </si>
  <si>
    <t>M9320006</t>
  </si>
  <si>
    <t>M9942064</t>
  </si>
  <si>
    <t>M9942069</t>
  </si>
  <si>
    <t>M9942083</t>
  </si>
  <si>
    <t>M9310322</t>
  </si>
  <si>
    <t>山善（深圳）贸易有限公司</t>
  </si>
  <si>
    <t>M9942014</t>
  </si>
  <si>
    <t>上海玛帕贸易有限公司</t>
  </si>
  <si>
    <t>PCD导条铰刀刀片</t>
  </si>
  <si>
    <t>M9942028</t>
  </si>
  <si>
    <t>M9942029</t>
  </si>
  <si>
    <t>M9941074</t>
  </si>
  <si>
    <t>金刚石阶梯铰刀</t>
  </si>
  <si>
    <t>M9942042</t>
  </si>
  <si>
    <t>PCD丝锥</t>
  </si>
  <si>
    <t>M9120037</t>
  </si>
  <si>
    <t>深圳市宝安区民治海顺通五金机电经销部</t>
  </si>
  <si>
    <t>片铣刀修磨</t>
  </si>
  <si>
    <t>M9150094</t>
  </si>
  <si>
    <t>M9942317</t>
  </si>
  <si>
    <t>M9942312</t>
  </si>
  <si>
    <t>DB02</t>
  </si>
  <si>
    <t>ZC336</t>
  </si>
  <si>
    <t>ZB02</t>
  </si>
  <si>
    <t>ZC281</t>
  </si>
  <si>
    <t>ZC020</t>
  </si>
  <si>
    <t>ZC875</t>
  </si>
  <si>
    <t>ZC877</t>
  </si>
  <si>
    <t>ZC010</t>
  </si>
  <si>
    <t>GD09</t>
  </si>
  <si>
    <t>GA01</t>
  </si>
  <si>
    <t>ZC549</t>
  </si>
  <si>
    <t>ZC204</t>
  </si>
  <si>
    <t>GA04</t>
  </si>
  <si>
    <t>GB01</t>
  </si>
  <si>
    <t>DB09</t>
  </si>
  <si>
    <t>ZC674</t>
  </si>
  <si>
    <t>MN</t>
  </si>
  <si>
    <t>W14138</t>
  </si>
  <si>
    <t>433EA</t>
  </si>
  <si>
    <t>W12145</t>
  </si>
  <si>
    <t>433DA</t>
  </si>
  <si>
    <t>W12024</t>
  </si>
  <si>
    <t>4334A</t>
  </si>
  <si>
    <t>2019-07-30</t>
  </si>
  <si>
    <t>2019-06-25</t>
  </si>
  <si>
    <t>2019-06-18</t>
  </si>
  <si>
    <t>2019-09-23</t>
  </si>
  <si>
    <t>2019-07-24</t>
  </si>
  <si>
    <t>2019-06-13</t>
  </si>
  <si>
    <t>2019-06-21</t>
  </si>
  <si>
    <t>2019-06-26</t>
  </si>
  <si>
    <t>2019-06-28</t>
  </si>
  <si>
    <t>2019-07-29</t>
  </si>
  <si>
    <t>2019-07-01</t>
  </si>
  <si>
    <t>2019-05-31</t>
  </si>
  <si>
    <t>2019-05-30</t>
  </si>
  <si>
    <t>2019-06-20</t>
  </si>
  <si>
    <t>2019-06-06</t>
  </si>
  <si>
    <t>2019-08-12</t>
  </si>
  <si>
    <t>2019-07-22</t>
  </si>
  <si>
    <t>2019-07-08</t>
  </si>
  <si>
    <t>2019-07-15</t>
  </si>
  <si>
    <t>2019-07-23</t>
  </si>
  <si>
    <t>2019-07-16</t>
  </si>
  <si>
    <t>2019-05-24</t>
  </si>
  <si>
    <t>2019-07-09</t>
  </si>
  <si>
    <t>2019-08-09</t>
  </si>
  <si>
    <t>2019-11-04</t>
  </si>
  <si>
    <t>2019-12-02</t>
  </si>
  <si>
    <t>2019-10-22</t>
  </si>
  <si>
    <t>2019-10-07</t>
  </si>
  <si>
    <t>2019-06-24</t>
  </si>
  <si>
    <t>2019-06-19</t>
  </si>
  <si>
    <t>2019-07-18</t>
  </si>
  <si>
    <t>2019-09-24</t>
  </si>
  <si>
    <t>2019-08-20</t>
  </si>
  <si>
    <t>2019-09-10</t>
  </si>
  <si>
    <t>2019-09-13</t>
  </si>
  <si>
    <t>2019-06-07</t>
  </si>
  <si>
    <t>2019-06-27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</si>
</sst>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60">
    <font>
      <sz val="11"/>
      <color theme="1"/>
      <name val="宋体"/>
      <family val="3"/>
      <charset val="134"/>
      <scheme val="minor"/>
    </font>
    <font>
      <sz val="11"/>
      <color indexed="8"/>
      <name val="宋体"/>
      <charset val="134"/>
    </font>
    <font>
      <sz val="9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8"/>
      <name val="宋体"/>
      <family val="3"/>
      <charset val="134"/>
    </font>
    <font>
      <b/>
      <sz val="18"/>
      <color indexed="13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新細明體"/>
      <family val="1"/>
    </font>
    <font>
      <sz val="9"/>
      <name val="宋体"/>
      <family val="3"/>
      <charset val="134"/>
    </font>
    <font>
      <b/>
      <sz val="10"/>
      <color indexed="64"/>
      <name val="微软雅黑"/>
      <family val="2"/>
      <charset val="134"/>
    </font>
    <font>
      <b/>
      <sz val="11"/>
      <color indexed="8"/>
      <name val="宋体"/>
      <family val="3"/>
      <charset val="134"/>
    </font>
    <font>
      <b/>
      <sz val="24"/>
      <color indexed="10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ＭＳ Ｐゴシック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微软雅黑"/>
      <family val="2"/>
      <charset val="134"/>
    </font>
    <font>
      <sz val="10"/>
      <name val="Arial"/>
      <family val="2"/>
    </font>
    <font>
      <sz val="10"/>
      <color indexed="8"/>
      <name val="ARIAL"/>
      <family val="2"/>
    </font>
    <font>
      <sz val="9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indexed="64"/>
      <name val="微软雅黑"/>
      <family val="2"/>
      <charset val="134"/>
    </font>
    <font>
      <sz val="9"/>
      <name val="宋体"/>
      <family val="3"/>
      <charset val="134"/>
      <scheme val="maj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2"/>
      <color theme="1"/>
      <name val="宋体"/>
      <family val="3"/>
      <charset val="134"/>
    </font>
    <font>
      <sz val="10"/>
      <color theme="1"/>
      <name val="Arial"/>
      <family val="2"/>
    </font>
    <font>
      <sz val="9"/>
      <color rgb="FFFF0000"/>
      <name val="宋体"/>
      <family val="3"/>
      <charset val="134"/>
    </font>
    <font>
      <sz val="11"/>
      <color rgb="FFFF0000"/>
      <name val="宋体"/>
      <family val="3"/>
      <charset val="134"/>
    </font>
    <font>
      <sz val="9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Calibri"/>
      <family val="2"/>
    </font>
    <font>
      <sz val="9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1">
    <xf numFmtId="0" fontId="0" fillId="0" borderId="0"/>
    <xf numFmtId="0" fontId="14" fillId="0" borderId="0"/>
    <xf numFmtId="0" fontId="6" fillId="0" borderId="0"/>
    <xf numFmtId="0" fontId="6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1" fillId="0" borderId="1" applyNumberFormat="0" applyFill="0" applyAlignment="0" applyProtection="0">
      <alignment vertical="center"/>
    </xf>
    <xf numFmtId="0" fontId="22" fillId="0" borderId="2" applyNumberFormat="0" applyFill="0" applyAlignment="0" applyProtection="0">
      <alignment vertical="center"/>
    </xf>
    <xf numFmtId="0" fontId="23" fillId="0" borderId="3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42" fillId="0" borderId="0"/>
    <xf numFmtId="0" fontId="6" fillId="0" borderId="0"/>
    <xf numFmtId="0" fontId="13" fillId="0" borderId="0">
      <alignment vertical="center"/>
    </xf>
    <xf numFmtId="0" fontId="1" fillId="0" borderId="0">
      <alignment vertical="center"/>
    </xf>
    <xf numFmtId="0" fontId="6" fillId="0" borderId="0"/>
    <xf numFmtId="0" fontId="25" fillId="4" borderId="0" applyNumberFormat="0" applyBorder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26" fillId="16" borderId="5" applyNumberFormat="0" applyAlignment="0" applyProtection="0">
      <alignment vertical="center"/>
    </xf>
    <xf numFmtId="0" fontId="27" fillId="17" borderId="6" applyNumberForma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2" fillId="16" borderId="8" applyNumberFormat="0" applyAlignment="0" applyProtection="0">
      <alignment vertical="center"/>
    </xf>
    <xf numFmtId="0" fontId="33" fillId="7" borderId="5" applyNumberFormat="0" applyAlignment="0" applyProtection="0">
      <alignment vertical="center"/>
    </xf>
    <xf numFmtId="0" fontId="14" fillId="0" borderId="0"/>
    <xf numFmtId="0" fontId="1" fillId="23" borderId="9" applyNumberFormat="0" applyFont="0" applyAlignment="0" applyProtection="0">
      <alignment vertical="center"/>
    </xf>
  </cellStyleXfs>
  <cellXfs count="104"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12" fillId="24" borderId="10" xfId="0" applyFont="1" applyFill="1" applyBorder="1" applyAlignment="1">
      <alignment vertical="center"/>
    </xf>
    <xf numFmtId="0" fontId="17" fillId="0" borderId="0" xfId="0" applyFont="1" applyAlignment="1">
      <alignment vertical="center"/>
    </xf>
    <xf numFmtId="0" fontId="0" fillId="0" borderId="10" xfId="0" applyBorder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0" fillId="0" borderId="10" xfId="0" applyFill="1" applyBorder="1" applyAlignment="1">
      <alignment vertical="center" wrapText="1"/>
    </xf>
    <xf numFmtId="0" fontId="0" fillId="0" borderId="10" xfId="0" applyFont="1" applyBorder="1" applyAlignment="1">
      <alignment vertical="center" wrapText="1"/>
    </xf>
    <xf numFmtId="0" fontId="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7" fillId="0" borderId="10" xfId="0" applyFont="1" applyBorder="1" applyAlignment="1">
      <alignment vertical="center" wrapText="1"/>
    </xf>
    <xf numFmtId="0" fontId="0" fillId="0" borderId="10" xfId="0" applyBorder="1" applyAlignment="1">
      <alignment horizontal="center" vertical="center" wrapText="1"/>
    </xf>
    <xf numFmtId="0" fontId="0" fillId="25" borderId="10" xfId="0" applyFill="1" applyBorder="1" applyAlignment="1" applyProtection="1">
      <alignment vertical="center"/>
      <protection locked="0"/>
    </xf>
    <xf numFmtId="0" fontId="16" fillId="0" borderId="10" xfId="0" applyNumberFormat="1" applyFont="1" applyFill="1" applyBorder="1" applyAlignment="1">
      <alignment horizontal="center" vertical="center"/>
    </xf>
    <xf numFmtId="0" fontId="47" fillId="0" borderId="11" xfId="0" applyFont="1" applyFill="1" applyBorder="1" applyAlignment="1">
      <alignment vertical="center" textRotation="255" wrapText="1"/>
    </xf>
    <xf numFmtId="0" fontId="47" fillId="0" borderId="11" xfId="0" applyFont="1" applyFill="1" applyBorder="1" applyAlignment="1">
      <alignment horizontal="center" vertical="center"/>
    </xf>
    <xf numFmtId="0" fontId="47" fillId="0" borderId="11" xfId="0" applyFont="1" applyFill="1" applyBorder="1" applyAlignment="1">
      <alignment vertical="center" wrapText="1"/>
    </xf>
    <xf numFmtId="0" fontId="47" fillId="26" borderId="11" xfId="0" applyNumberFormat="1" applyFont="1" applyFill="1" applyBorder="1" applyAlignment="1">
      <alignment horizontal="center" vertical="center" wrapText="1"/>
    </xf>
    <xf numFmtId="0" fontId="48" fillId="0" borderId="10" xfId="0" applyFont="1" applyFill="1" applyBorder="1" applyAlignment="1">
      <alignment vertical="top"/>
    </xf>
    <xf numFmtId="0" fontId="48" fillId="0" borderId="10" xfId="0" applyFont="1" applyFill="1" applyBorder="1" applyAlignment="1">
      <alignment horizontal="center" vertical="center"/>
    </xf>
    <xf numFmtId="0" fontId="48" fillId="26" borderId="10" xfId="0" applyFont="1" applyFill="1" applyBorder="1" applyAlignment="1">
      <alignment vertical="center"/>
    </xf>
    <xf numFmtId="0" fontId="48" fillId="0" borderId="10" xfId="0" applyNumberFormat="1" applyFont="1" applyFill="1" applyBorder="1" applyAlignment="1">
      <alignment horizontal="center" vertical="center"/>
    </xf>
    <xf numFmtId="0" fontId="48" fillId="0" borderId="10" xfId="0" applyFont="1" applyFill="1" applyBorder="1" applyAlignment="1">
      <alignment vertical="center"/>
    </xf>
    <xf numFmtId="0" fontId="48" fillId="26" borderId="10" xfId="0" applyFont="1" applyFill="1" applyBorder="1" applyAlignment="1">
      <alignment horizontal="left" vertical="center"/>
    </xf>
    <xf numFmtId="0" fontId="2" fillId="26" borderId="10" xfId="0" applyFont="1" applyFill="1" applyBorder="1" applyAlignment="1">
      <alignment horizontal="left" vertical="center"/>
    </xf>
    <xf numFmtId="0" fontId="2" fillId="26" borderId="10" xfId="0" applyFont="1" applyFill="1" applyBorder="1" applyAlignment="1">
      <alignment horizontal="left" wrapText="1"/>
    </xf>
    <xf numFmtId="0" fontId="2" fillId="26" borderId="10" xfId="0" applyFont="1" applyFill="1" applyBorder="1" applyAlignment="1">
      <alignment horizontal="left" vertical="center" wrapText="1"/>
    </xf>
    <xf numFmtId="0" fontId="48" fillId="26" borderId="10" xfId="0" applyFont="1" applyFill="1" applyBorder="1" applyAlignment="1">
      <alignment horizontal="left" vertical="center" wrapText="1"/>
    </xf>
    <xf numFmtId="0" fontId="0" fillId="0" borderId="10" xfId="0" applyBorder="1" applyAlignment="1">
      <alignment vertical="center"/>
    </xf>
    <xf numFmtId="0" fontId="49" fillId="0" borderId="0" xfId="0" applyFont="1" applyFill="1" applyAlignment="1">
      <alignment vertical="center"/>
    </xf>
    <xf numFmtId="0" fontId="49" fillId="0" borderId="0" xfId="0" applyFont="1" applyFill="1" applyAlignment="1">
      <alignment horizontal="center" vertical="center"/>
    </xf>
    <xf numFmtId="0" fontId="49" fillId="0" borderId="0" xfId="0" applyFont="1" applyFill="1" applyAlignment="1">
      <alignment horizontal="left" vertical="center"/>
    </xf>
    <xf numFmtId="0" fontId="49" fillId="0" borderId="0" xfId="0" applyNumberFormat="1" applyFont="1" applyFill="1" applyAlignment="1">
      <alignment horizontal="center" vertical="center"/>
    </xf>
    <xf numFmtId="49" fontId="38" fillId="0" borderId="10" xfId="0" applyNumberFormat="1" applyFont="1" applyFill="1" applyBorder="1" applyAlignment="1">
      <alignment vertical="center"/>
    </xf>
    <xf numFmtId="0" fontId="38" fillId="0" borderId="10" xfId="0" applyFont="1" applyFill="1" applyBorder="1" applyAlignment="1">
      <alignment horizontal="left" vertical="center"/>
    </xf>
    <xf numFmtId="0" fontId="49" fillId="0" borderId="10" xfId="0" applyFont="1" applyFill="1" applyBorder="1" applyAlignment="1">
      <alignment vertical="center"/>
    </xf>
    <xf numFmtId="0" fontId="16" fillId="0" borderId="10" xfId="0" applyNumberFormat="1" applyFont="1" applyFill="1" applyBorder="1" applyAlignment="1">
      <alignment vertical="center"/>
    </xf>
    <xf numFmtId="0" fontId="0" fillId="0" borderId="10" xfId="0" applyBorder="1" applyAlignment="1">
      <alignment vertical="top"/>
    </xf>
    <xf numFmtId="0" fontId="50" fillId="0" borderId="12" xfId="0" applyFont="1" applyBorder="1" applyAlignment="1">
      <alignment horizontal="left" vertical="center"/>
    </xf>
    <xf numFmtId="0" fontId="51" fillId="0" borderId="13" xfId="0" applyFont="1" applyBorder="1" applyAlignment="1">
      <alignment horizontal="center" vertical="center" wrapText="1"/>
    </xf>
    <xf numFmtId="0" fontId="50" fillId="0" borderId="13" xfId="0" applyFont="1" applyBorder="1" applyAlignment="1">
      <alignment horizontal="left" vertical="center" wrapText="1"/>
    </xf>
    <xf numFmtId="0" fontId="50" fillId="0" borderId="14" xfId="0" applyFont="1" applyBorder="1" applyAlignment="1">
      <alignment horizontal="left" vertical="center"/>
    </xf>
    <xf numFmtId="0" fontId="51" fillId="0" borderId="15" xfId="0" applyFont="1" applyBorder="1" applyAlignment="1">
      <alignment horizontal="center" vertical="center" wrapText="1"/>
    </xf>
    <xf numFmtId="0" fontId="50" fillId="0" borderId="15" xfId="0" applyFont="1" applyBorder="1" applyAlignment="1">
      <alignment horizontal="left" vertical="center" wrapText="1"/>
    </xf>
    <xf numFmtId="0" fontId="51" fillId="0" borderId="14" xfId="0" applyFont="1" applyBorder="1" applyAlignment="1">
      <alignment horizontal="left" vertical="center"/>
    </xf>
    <xf numFmtId="0" fontId="51" fillId="0" borderId="15" xfId="0" applyFont="1" applyBorder="1" applyAlignment="1">
      <alignment horizontal="left" vertical="center"/>
    </xf>
    <xf numFmtId="0" fontId="51" fillId="0" borderId="14" xfId="0" applyFont="1" applyBorder="1" applyAlignment="1">
      <alignment horizontal="left" vertical="center" wrapText="1"/>
    </xf>
    <xf numFmtId="0" fontId="51" fillId="0" borderId="15" xfId="0" applyFont="1" applyBorder="1" applyAlignment="1">
      <alignment horizontal="left" vertical="center" wrapText="1"/>
    </xf>
    <xf numFmtId="0" fontId="16" fillId="0" borderId="10" xfId="0" applyNumberFormat="1" applyFont="1" applyFill="1" applyBorder="1" applyAlignment="1">
      <alignment horizontal="left" vertical="top"/>
    </xf>
    <xf numFmtId="176" fontId="52" fillId="27" borderId="10" xfId="30" applyNumberFormat="1" applyFont="1" applyFill="1" applyBorder="1" applyAlignment="1">
      <alignment horizontal="center" vertical="center"/>
    </xf>
    <xf numFmtId="176" fontId="50" fillId="27" borderId="10" xfId="30" applyNumberFormat="1" applyFont="1" applyFill="1" applyBorder="1" applyAlignment="1">
      <alignment horizontal="center" vertical="center" wrapText="1"/>
    </xf>
    <xf numFmtId="0" fontId="53" fillId="28" borderId="14" xfId="0" applyFont="1" applyFill="1" applyBorder="1" applyAlignment="1">
      <alignment horizontal="center" vertical="center" wrapText="1"/>
    </xf>
    <xf numFmtId="0" fontId="54" fillId="28" borderId="15" xfId="0" applyFont="1" applyFill="1" applyBorder="1" applyAlignment="1">
      <alignment horizontal="center" vertical="center" wrapText="1"/>
    </xf>
    <xf numFmtId="0" fontId="55" fillId="29" borderId="14" xfId="0" applyFont="1" applyFill="1" applyBorder="1" applyAlignment="1">
      <alignment horizontal="center" vertical="center" wrapText="1"/>
    </xf>
    <xf numFmtId="0" fontId="56" fillId="29" borderId="15" xfId="0" applyFont="1" applyFill="1" applyBorder="1" applyAlignment="1">
      <alignment horizontal="center" vertical="center" wrapText="1"/>
    </xf>
    <xf numFmtId="0" fontId="55" fillId="28" borderId="14" xfId="0" applyFont="1" applyFill="1" applyBorder="1" applyAlignment="1">
      <alignment horizontal="center" vertical="center" wrapText="1"/>
    </xf>
    <xf numFmtId="0" fontId="56" fillId="28" borderId="15" xfId="0" applyFont="1" applyFill="1" applyBorder="1" applyAlignment="1">
      <alignment horizontal="center" vertical="center" wrapText="1"/>
    </xf>
    <xf numFmtId="0" fontId="53" fillId="29" borderId="14" xfId="0" applyFont="1" applyFill="1" applyBorder="1" applyAlignment="1">
      <alignment horizontal="center" vertical="center" wrapText="1"/>
    </xf>
    <xf numFmtId="0" fontId="54" fillId="29" borderId="15" xfId="0" applyFont="1" applyFill="1" applyBorder="1" applyAlignment="1">
      <alignment horizontal="center" vertical="center" wrapText="1"/>
    </xf>
    <xf numFmtId="0" fontId="57" fillId="29" borderId="14" xfId="0" applyFont="1" applyFill="1" applyBorder="1" applyAlignment="1">
      <alignment horizontal="center" vertical="center" wrapText="1"/>
    </xf>
    <xf numFmtId="0" fontId="57" fillId="29" borderId="15" xfId="0" applyFont="1" applyFill="1" applyBorder="1" applyAlignment="1">
      <alignment horizontal="center" vertical="center" wrapText="1"/>
    </xf>
    <xf numFmtId="0" fontId="42" fillId="0" borderId="10" xfId="0" applyFont="1" applyFill="1" applyBorder="1" applyAlignment="1">
      <alignment horizontal="center" vertical="center" wrapText="1"/>
    </xf>
    <xf numFmtId="0" fontId="49" fillId="0" borderId="16" xfId="0" applyFont="1" applyFill="1" applyBorder="1" applyAlignment="1">
      <alignment horizontal="center" vertical="center"/>
    </xf>
    <xf numFmtId="0" fontId="49" fillId="0" borderId="10" xfId="0" applyFont="1" applyFill="1" applyBorder="1" applyAlignment="1">
      <alignment horizontal="center" vertical="center"/>
    </xf>
    <xf numFmtId="0" fontId="52" fillId="0" borderId="10" xfId="30" applyFont="1" applyFill="1" applyBorder="1" applyAlignment="1">
      <alignment horizontal="center" vertical="center" wrapText="1"/>
    </xf>
    <xf numFmtId="0" fontId="58" fillId="30" borderId="10" xfId="0" applyFont="1" applyFill="1" applyBorder="1" applyAlignment="1">
      <alignment horizontal="center" vertical="center" wrapText="1"/>
    </xf>
    <xf numFmtId="0" fontId="0" fillId="30" borderId="10" xfId="0" applyFill="1" applyBorder="1" applyAlignment="1">
      <alignment horizontal="center" vertical="center" wrapText="1"/>
    </xf>
    <xf numFmtId="0" fontId="52" fillId="0" borderId="10" xfId="30" applyFont="1" applyFill="1" applyBorder="1" applyAlignment="1">
      <alignment horizontal="center" vertical="center"/>
    </xf>
    <xf numFmtId="0" fontId="58" fillId="0" borderId="10" xfId="0" applyFont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0" fillId="0" borderId="10" xfId="0" applyBorder="1"/>
    <xf numFmtId="0" fontId="43" fillId="0" borderId="10" xfId="0" applyFont="1" applyBorder="1" applyAlignment="1">
      <alignment vertical="top"/>
    </xf>
    <xf numFmtId="0" fontId="49" fillId="0" borderId="10" xfId="0" applyFont="1" applyFill="1" applyBorder="1" applyAlignment="1">
      <alignment horizontal="left" vertical="top"/>
    </xf>
    <xf numFmtId="0" fontId="59" fillId="0" borderId="10" xfId="28" applyFont="1" applyBorder="1" applyAlignment="1">
      <alignment horizontal="left" vertical="center"/>
    </xf>
    <xf numFmtId="0" fontId="59" fillId="0" borderId="10" xfId="0" applyFont="1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43" fillId="0" borderId="10" xfId="0" applyFont="1" applyBorder="1" applyAlignment="1">
      <alignment horizontal="center" vertical="top"/>
    </xf>
    <xf numFmtId="2" fontId="43" fillId="0" borderId="10" xfId="0" applyNumberFormat="1" applyFont="1" applyFill="1" applyBorder="1" applyAlignment="1">
      <alignment vertical="top"/>
    </xf>
    <xf numFmtId="0" fontId="49" fillId="0" borderId="10" xfId="0" applyFont="1" applyFill="1" applyBorder="1" applyAlignment="1">
      <alignment horizontal="left" vertical="center"/>
    </xf>
    <xf numFmtId="0" fontId="0" fillId="0" borderId="10" xfId="0" applyFill="1" applyBorder="1" applyAlignment="1">
      <alignment vertical="top"/>
    </xf>
    <xf numFmtId="0" fontId="49" fillId="0" borderId="17" xfId="0" applyFont="1" applyFill="1" applyBorder="1" applyAlignment="1">
      <alignment horizontal="center" vertical="center"/>
    </xf>
    <xf numFmtId="0" fontId="49" fillId="0" borderId="17" xfId="0" applyFont="1" applyFill="1" applyBorder="1" applyAlignment="1">
      <alignment vertical="center"/>
    </xf>
    <xf numFmtId="0" fontId="49" fillId="0" borderId="0" xfId="0" applyFont="1" applyFill="1" applyBorder="1" applyAlignment="1">
      <alignment horizontal="center" vertical="center"/>
    </xf>
    <xf numFmtId="14" fontId="49" fillId="0" borderId="0" xfId="0" applyNumberFormat="1" applyFont="1" applyFill="1" applyAlignment="1">
      <alignment horizontal="center" vertical="center"/>
    </xf>
    <xf numFmtId="0" fontId="46" fillId="0" borderId="10" xfId="0" applyNumberFormat="1" applyFont="1" applyFill="1" applyBorder="1" applyAlignment="1">
      <alignment horizontal="center" vertical="center"/>
    </xf>
    <xf numFmtId="14" fontId="46" fillId="0" borderId="10" xfId="0" applyNumberFormat="1" applyFont="1" applyFill="1" applyBorder="1" applyAlignment="1">
      <alignment horizontal="center" vertical="center"/>
    </xf>
    <xf numFmtId="0" fontId="49" fillId="0" borderId="10" xfId="0" applyFont="1" applyBorder="1" applyAlignment="1">
      <alignment horizontal="center"/>
    </xf>
    <xf numFmtId="0" fontId="49" fillId="30" borderId="10" xfId="0" applyFont="1" applyFill="1" applyBorder="1" applyAlignment="1">
      <alignment horizontal="center" vertical="center" wrapText="1"/>
    </xf>
    <xf numFmtId="0" fontId="49" fillId="0" borderId="10" xfId="0" applyFont="1" applyFill="1" applyBorder="1" applyAlignment="1">
      <alignment horizontal="center" vertical="center" wrapText="1"/>
    </xf>
    <xf numFmtId="14" fontId="45" fillId="0" borderId="0" xfId="0" applyNumberFormat="1" applyFont="1" applyFill="1" applyBorder="1" applyAlignment="1">
      <alignment horizontal="center" vertical="center"/>
    </xf>
    <xf numFmtId="0" fontId="46" fillId="0" borderId="10" xfId="0" applyNumberFormat="1" applyFont="1" applyFill="1" applyBorder="1" applyAlignment="1">
      <alignment horizontal="center" vertical="top"/>
    </xf>
    <xf numFmtId="0" fontId="46" fillId="0" borderId="10" xfId="0" applyNumberFormat="1" applyFont="1" applyFill="1" applyBorder="1" applyAlignment="1">
      <alignment horizontal="center" vertical="center" wrapText="1"/>
    </xf>
    <xf numFmtId="0" fontId="49" fillId="0" borderId="10" xfId="0" applyFont="1" applyFill="1" applyBorder="1" applyAlignment="1">
      <alignment horizontal="center" vertical="top"/>
    </xf>
    <xf numFmtId="49" fontId="38" fillId="0" borderId="10" xfId="0" applyNumberFormat="1" applyFont="1" applyFill="1" applyBorder="1" applyAlignment="1">
      <alignment horizontal="center" vertical="center"/>
    </xf>
    <xf numFmtId="14" fontId="49" fillId="0" borderId="10" xfId="0" applyNumberFormat="1" applyFont="1" applyFill="1" applyBorder="1" applyAlignment="1">
      <alignment horizontal="center" vertical="top"/>
    </xf>
    <xf numFmtId="2" fontId="43" fillId="0" borderId="10" xfId="0" applyNumberFormat="1" applyFont="1" applyFill="1" applyBorder="1" applyAlignment="1">
      <alignment horizontal="center" vertical="top"/>
    </xf>
    <xf numFmtId="0" fontId="59" fillId="0" borderId="10" xfId="28" applyFont="1" applyBorder="1" applyAlignment="1">
      <alignment horizontal="center" vertical="center"/>
    </xf>
    <xf numFmtId="0" fontId="59" fillId="0" borderId="10" xfId="0" applyFont="1" applyBorder="1" applyAlignment="1">
      <alignment horizontal="center" vertical="center"/>
    </xf>
    <xf numFmtId="0" fontId="49" fillId="0" borderId="0" xfId="0" applyFont="1" applyFill="1" applyAlignment="1">
      <alignment horizontal="center" vertical="top"/>
    </xf>
    <xf numFmtId="0" fontId="45" fillId="0" borderId="18" xfId="0" applyFont="1" applyFill="1" applyBorder="1" applyAlignment="1">
      <alignment horizontal="center" vertical="center"/>
    </xf>
    <xf numFmtId="0" fontId="45" fillId="0" borderId="16" xfId="0" applyFont="1" applyFill="1" applyBorder="1" applyAlignment="1">
      <alignment horizontal="center" vertical="center"/>
    </xf>
    <xf numFmtId="0" fontId="45" fillId="0" borderId="19" xfId="0" applyFont="1" applyFill="1" applyBorder="1" applyAlignment="1">
      <alignment horizontal="center" vertical="center"/>
    </xf>
  </cellXfs>
  <cellStyles count="51">
    <cellStyle name="_ET_STYLE_NoName_00_" xfId="1"/>
    <cellStyle name="0,0_x000d__x000a_NA_x000d__x000a_" xfId="2"/>
    <cellStyle name="0,0_x000d__x000a_NA_x000d__x000a_ 2" xfId="3"/>
    <cellStyle name="20% - 强调文字颜色 1 2" xfId="4"/>
    <cellStyle name="20% - 强调文字颜色 2 2" xfId="5"/>
    <cellStyle name="20% - 强调文字颜色 3 2" xfId="6"/>
    <cellStyle name="20% - 强调文字颜色 4 2" xfId="7"/>
    <cellStyle name="20% - 强调文字颜色 5 2" xfId="8"/>
    <cellStyle name="20% - 强调文字颜色 6 2" xfId="9"/>
    <cellStyle name="40% - 强调文字颜色 1 2" xfId="10"/>
    <cellStyle name="40% - 强调文字颜色 2 2" xfId="11"/>
    <cellStyle name="40% - 强调文字颜色 3 2" xfId="12"/>
    <cellStyle name="40% - 强调文字颜色 4 2" xfId="13"/>
    <cellStyle name="40% - 强调文字颜色 5 2" xfId="14"/>
    <cellStyle name="40% - 强调文字颜色 6 2" xfId="15"/>
    <cellStyle name="60% - 强调文字颜色 1 2" xfId="16"/>
    <cellStyle name="60% - 强调文字颜色 2 2" xfId="17"/>
    <cellStyle name="60% - 强调文字颜色 3 2" xfId="18"/>
    <cellStyle name="60% - 强调文字颜色 4 2" xfId="19"/>
    <cellStyle name="60% - 强调文字颜色 5 2" xfId="20"/>
    <cellStyle name="60% - 强调文字颜色 6 2" xfId="21"/>
    <cellStyle name="标题 1 2" xfId="22"/>
    <cellStyle name="标题 2 2" xfId="23"/>
    <cellStyle name="标题 3 2" xfId="24"/>
    <cellStyle name="标题 4 2" xfId="25"/>
    <cellStyle name="标题 5" xfId="26"/>
    <cellStyle name="差 2" xfId="27"/>
    <cellStyle name="常规" xfId="0" builtinId="0"/>
    <cellStyle name="常规 17" xfId="28"/>
    <cellStyle name="常规 2" xfId="29"/>
    <cellStyle name="常规 3" xfId="30"/>
    <cellStyle name="常规 3 2" xfId="31"/>
    <cellStyle name="常规 6 2" xfId="32"/>
    <cellStyle name="好 2" xfId="33"/>
    <cellStyle name="汇总 2" xfId="34"/>
    <cellStyle name="计算 2" xfId="35"/>
    <cellStyle name="检查单元格 2" xfId="36"/>
    <cellStyle name="解释性文本 2" xfId="37"/>
    <cellStyle name="警告文本 2" xfId="38"/>
    <cellStyle name="链接单元格 2" xfId="39"/>
    <cellStyle name="强调文字颜色 1 2" xfId="40"/>
    <cellStyle name="强调文字颜色 2 2" xfId="41"/>
    <cellStyle name="强调文字颜色 3 2" xfId="42"/>
    <cellStyle name="强调文字颜色 4 2" xfId="43"/>
    <cellStyle name="强调文字颜色 5 2" xfId="44"/>
    <cellStyle name="强调文字颜色 6 2" xfId="45"/>
    <cellStyle name="适中 2" xfId="46"/>
    <cellStyle name="输出 2" xfId="47"/>
    <cellStyle name="输入 2" xfId="48"/>
    <cellStyle name="样式 1" xfId="49"/>
    <cellStyle name="注释 2" xfId="5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295275</xdr:colOff>
      <xdr:row>0</xdr:row>
      <xdr:rowOff>95250</xdr:rowOff>
    </xdr:from>
    <xdr:to>
      <xdr:col>15</xdr:col>
      <xdr:colOff>371475</xdr:colOff>
      <xdr:row>14</xdr:row>
      <xdr:rowOff>85725</xdr:rowOff>
    </xdr:to>
    <xdr:pic>
      <xdr:nvPicPr>
        <xdr:cNvPr id="52353" name="图片 2" descr="class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63325" y="95250"/>
          <a:ext cx="7658100" cy="400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342900</xdr:colOff>
      <xdr:row>32</xdr:row>
      <xdr:rowOff>0</xdr:rowOff>
    </xdr:from>
    <xdr:to>
      <xdr:col>10</xdr:col>
      <xdr:colOff>533400</xdr:colOff>
      <xdr:row>47</xdr:row>
      <xdr:rowOff>123825</xdr:rowOff>
    </xdr:to>
    <xdr:pic>
      <xdr:nvPicPr>
        <xdr:cNvPr id="52354" name="图片 3" descr="compnr.JP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10950" y="8143875"/>
          <a:ext cx="4343400" cy="405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295275</xdr:colOff>
      <xdr:row>17</xdr:row>
      <xdr:rowOff>123825</xdr:rowOff>
    </xdr:from>
    <xdr:to>
      <xdr:col>15</xdr:col>
      <xdr:colOff>333375</xdr:colOff>
      <xdr:row>31</xdr:row>
      <xdr:rowOff>209550</xdr:rowOff>
    </xdr:to>
    <xdr:pic>
      <xdr:nvPicPr>
        <xdr:cNvPr id="52355" name="图片 4" descr="default.jpg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63325" y="4705350"/>
          <a:ext cx="7620000" cy="2847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38100</xdr:rowOff>
        </xdr:from>
        <xdr:to>
          <xdr:col>1</xdr:col>
          <xdr:colOff>152400</xdr:colOff>
          <xdr:row>0</xdr:row>
          <xdr:rowOff>342900</xdr:rowOff>
        </xdr:to>
        <xdr:sp macro="" textlink="">
          <xdr:nvSpPr>
            <xdr:cNvPr id="1037" name="CommandButton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J114"/>
  <sheetViews>
    <sheetView workbookViewId="0">
      <pane xSplit="2" ySplit="4" topLeftCell="F5" activePane="bottomRight" state="frozen"/>
      <selection pane="topRight" activeCell="C1" sqref="C1"/>
      <selection pane="bottomLeft" activeCell="A5" sqref="A5"/>
      <selection pane="bottomRight" activeCell="R4" sqref="R4"/>
    </sheetView>
  </sheetViews>
  <sheetFormatPr defaultRowHeight="13.5"/>
  <cols>
    <col min="1" max="1" width="3.5" customWidth="1"/>
    <col min="2" max="2" width="2.75" customWidth="1"/>
    <col min="3" max="3" width="32.25" customWidth="1"/>
    <col min="4" max="4" width="76.375" customWidth="1"/>
    <col min="5" max="5" width="30.375" customWidth="1"/>
    <col min="6" max="6" width="18.5" customWidth="1"/>
  </cols>
  <sheetData>
    <row r="1" spans="3:10" ht="33" customHeight="1">
      <c r="C1" s="10" t="s">
        <v>2</v>
      </c>
      <c r="E1" s="6" t="s">
        <v>22</v>
      </c>
    </row>
    <row r="4" spans="3:10" ht="39.75" customHeight="1">
      <c r="C4" s="3" t="s">
        <v>15</v>
      </c>
      <c r="D4" s="14" t="s">
        <v>36</v>
      </c>
    </row>
    <row r="5" spans="3:10" ht="26.25" customHeight="1"/>
    <row r="6" spans="3:10" ht="33" customHeight="1">
      <c r="D6" s="11" t="s">
        <v>5</v>
      </c>
    </row>
    <row r="7" spans="3:10">
      <c r="C7" s="4" t="s">
        <v>14</v>
      </c>
    </row>
    <row r="8" spans="3:10" ht="21.75" customHeight="1">
      <c r="C8" s="2" t="s">
        <v>16</v>
      </c>
    </row>
    <row r="9" spans="3:10" ht="21" customHeight="1">
      <c r="C9" s="7" t="s">
        <v>0</v>
      </c>
    </row>
    <row r="10" spans="3:10" ht="24" customHeight="1">
      <c r="C10" s="2" t="s">
        <v>18</v>
      </c>
      <c r="J10" s="1"/>
    </row>
    <row r="11" spans="3:10" ht="24.75" customHeight="1">
      <c r="C11" s="2" t="s">
        <v>17</v>
      </c>
    </row>
    <row r="12" spans="3:10" ht="24.75" customHeight="1">
      <c r="C12" s="2" t="s">
        <v>19</v>
      </c>
    </row>
    <row r="17" spans="3:4" ht="18" customHeight="1">
      <c r="C17" s="4" t="s">
        <v>20</v>
      </c>
    </row>
    <row r="18" spans="3:4">
      <c r="C18" s="2" t="s">
        <v>21</v>
      </c>
    </row>
    <row r="19" spans="3:4">
      <c r="C19" s="2" t="s">
        <v>23</v>
      </c>
    </row>
    <row r="20" spans="3:4">
      <c r="C20" s="2" t="s">
        <v>3</v>
      </c>
    </row>
    <row r="21" spans="3:4">
      <c r="C21" s="2" t="s">
        <v>24</v>
      </c>
    </row>
    <row r="22" spans="3:4">
      <c r="C22" s="2" t="s">
        <v>4</v>
      </c>
    </row>
    <row r="23" spans="3:4">
      <c r="C23" t="s">
        <v>1</v>
      </c>
    </row>
    <row r="24" spans="3:4">
      <c r="C24" t="s">
        <v>6</v>
      </c>
    </row>
    <row r="29" spans="3:4">
      <c r="C29" s="4" t="s">
        <v>8</v>
      </c>
    </row>
    <row r="30" spans="3:4" ht="27" customHeight="1">
      <c r="C30" s="12" t="s">
        <v>9</v>
      </c>
      <c r="D30" s="12" t="s">
        <v>10</v>
      </c>
    </row>
    <row r="31" spans="3:4" ht="28.5" customHeight="1">
      <c r="C31" s="13">
        <v>1</v>
      </c>
      <c r="D31" s="9" t="s">
        <v>11</v>
      </c>
    </row>
    <row r="32" spans="3:4" ht="63" customHeight="1">
      <c r="C32" s="13">
        <v>2</v>
      </c>
      <c r="D32" s="9" t="s">
        <v>12</v>
      </c>
    </row>
    <row r="33" spans="3:4" ht="84" customHeight="1">
      <c r="C33" s="13">
        <v>3</v>
      </c>
      <c r="D33" s="9" t="s">
        <v>13</v>
      </c>
    </row>
    <row r="34" spans="3:4" ht="32.25" customHeight="1">
      <c r="C34" s="5"/>
      <c r="D34" s="8"/>
    </row>
    <row r="35" spans="3:4" ht="31.5" customHeight="1">
      <c r="C35" s="5"/>
      <c r="D35" s="9"/>
    </row>
    <row r="39" spans="3:4">
      <c r="C39" s="4"/>
    </row>
    <row r="41" spans="3:4">
      <c r="C41" s="2"/>
    </row>
    <row r="42" spans="3:4">
      <c r="C42" s="2"/>
    </row>
    <row r="60" spans="3:3">
      <c r="C60" s="2"/>
    </row>
    <row r="90" spans="3:3">
      <c r="C90" s="2"/>
    </row>
    <row r="114" spans="3:3">
      <c r="C114" s="2"/>
    </row>
  </sheetData>
  <protectedRanges>
    <protectedRange password="C71F" sqref="D4" name="区域1"/>
  </protectedRanges>
  <phoneticPr fontId="5" type="noConversion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87"/>
  <sheetViews>
    <sheetView tabSelected="1"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9" sqref="C9"/>
    </sheetView>
  </sheetViews>
  <sheetFormatPr defaultColWidth="11.25" defaultRowHeight="12"/>
  <cols>
    <col min="1" max="1" width="10" style="32" customWidth="1"/>
    <col min="2" max="2" width="33" style="32" bestFit="1" customWidth="1"/>
    <col min="3" max="3" width="15.875" style="100" customWidth="1"/>
    <col min="4" max="4" width="9.5" style="32" customWidth="1"/>
    <col min="5" max="5" width="8" style="32" customWidth="1"/>
    <col min="6" max="6" width="12.5" style="34" customWidth="1"/>
    <col min="7" max="7" width="9.5" style="34" customWidth="1"/>
    <col min="8" max="8" width="9.75" style="32" customWidth="1"/>
    <col min="9" max="9" width="11.125" style="32" customWidth="1"/>
    <col min="10" max="10" width="11.375" style="85" customWidth="1"/>
    <col min="11" max="11" width="9.875" style="32" customWidth="1"/>
    <col min="12" max="12" width="9.375" style="32" customWidth="1"/>
    <col min="13" max="13" width="36.75" style="33" bestFit="1" customWidth="1"/>
    <col min="14" max="233" width="9" style="31" customWidth="1"/>
    <col min="234" max="16384" width="11.25" style="31"/>
  </cols>
  <sheetData>
    <row r="1" spans="1:14" ht="39" customHeight="1">
      <c r="A1" s="64"/>
      <c r="B1" s="101" t="s">
        <v>33</v>
      </c>
      <c r="C1" s="102"/>
      <c r="D1" s="102"/>
      <c r="E1" s="102"/>
      <c r="F1" s="102"/>
      <c r="G1" s="102"/>
      <c r="H1" s="102"/>
      <c r="I1" s="103"/>
      <c r="J1" s="91"/>
    </row>
    <row r="2" spans="1:14" s="32" customFormat="1" ht="16.5">
      <c r="A2" s="86" t="s">
        <v>25</v>
      </c>
      <c r="B2" s="86" t="s">
        <v>26</v>
      </c>
      <c r="C2" s="92" t="s">
        <v>34</v>
      </c>
      <c r="D2" s="93" t="s">
        <v>27</v>
      </c>
      <c r="E2" s="86" t="s">
        <v>28</v>
      </c>
      <c r="F2" s="86" t="s">
        <v>29</v>
      </c>
      <c r="G2" s="86" t="s">
        <v>30</v>
      </c>
      <c r="H2" s="86" t="s">
        <v>31</v>
      </c>
      <c r="I2" s="86" t="s">
        <v>32</v>
      </c>
      <c r="J2" s="87" t="s">
        <v>35</v>
      </c>
      <c r="K2" s="65" t="s">
        <v>7</v>
      </c>
      <c r="L2" s="65" t="s">
        <v>7</v>
      </c>
      <c r="M2" s="80"/>
      <c r="N2" s="82"/>
    </row>
    <row r="3" spans="1:14" s="32" customFormat="1" ht="16.5">
      <c r="A3" s="94"/>
      <c r="B3" s="94"/>
      <c r="C3" s="94"/>
      <c r="D3" s="94"/>
      <c r="E3" s="94"/>
      <c r="F3" s="95"/>
      <c r="G3" s="94"/>
      <c r="H3" s="86"/>
      <c r="I3" s="86"/>
      <c r="J3" s="96"/>
      <c r="K3" s="65"/>
      <c r="L3" s="65"/>
      <c r="M3" s="80"/>
      <c r="N3" s="84">
        <v>111</v>
      </c>
    </row>
    <row r="4" spans="1:14" ht="12.75">
      <c r="A4" s="88"/>
      <c r="B4" s="88"/>
      <c r="C4" s="88"/>
      <c r="D4" s="88"/>
      <c r="E4" s="97"/>
      <c r="F4" s="95"/>
      <c r="G4" s="94"/>
      <c r="H4" s="94"/>
      <c r="I4" s="94"/>
      <c r="J4" s="96"/>
      <c r="K4" s="65"/>
      <c r="L4" s="65"/>
      <c r="M4" s="80"/>
    </row>
    <row r="5" spans="1:14" ht="12.75">
      <c r="A5" s="78"/>
      <c r="B5" s="78"/>
      <c r="C5" s="78"/>
      <c r="D5" s="78"/>
      <c r="E5" s="97"/>
      <c r="F5" s="95"/>
      <c r="G5" s="94"/>
      <c r="H5" s="94"/>
      <c r="I5" s="94"/>
      <c r="J5" s="96"/>
      <c r="K5" s="65"/>
      <c r="L5" s="65"/>
      <c r="M5" s="80"/>
    </row>
    <row r="6" spans="1:14" ht="12.75">
      <c r="A6" s="88"/>
      <c r="B6" s="88"/>
      <c r="C6" s="88"/>
      <c r="D6" s="88"/>
      <c r="E6" s="97"/>
      <c r="F6" s="95"/>
      <c r="G6" s="94"/>
      <c r="H6" s="94"/>
      <c r="I6" s="94"/>
      <c r="J6" s="96"/>
      <c r="K6" s="65"/>
      <c r="L6" s="65"/>
      <c r="M6" s="80"/>
    </row>
    <row r="7" spans="1:14" ht="12.75">
      <c r="A7" s="88"/>
      <c r="B7" s="88"/>
      <c r="C7" s="88"/>
      <c r="D7" s="88"/>
      <c r="E7" s="97"/>
      <c r="F7" s="95"/>
      <c r="G7" s="94"/>
      <c r="H7" s="94"/>
      <c r="I7" s="94"/>
      <c r="J7" s="96"/>
      <c r="K7" s="65"/>
      <c r="L7" s="65"/>
      <c r="M7" s="80"/>
    </row>
    <row r="8" spans="1:14" ht="12.75">
      <c r="A8" s="88"/>
      <c r="B8" s="88"/>
      <c r="C8" s="88"/>
      <c r="D8" s="88"/>
      <c r="E8" s="97"/>
      <c r="F8" s="95"/>
      <c r="G8" s="94"/>
      <c r="H8" s="94"/>
      <c r="I8" s="94"/>
      <c r="J8" s="96"/>
      <c r="K8" s="65"/>
      <c r="L8" s="65"/>
      <c r="M8" s="80"/>
    </row>
    <row r="9" spans="1:14" ht="12.75">
      <c r="A9" s="78"/>
      <c r="B9" s="78"/>
      <c r="C9" s="78"/>
      <c r="D9" s="78"/>
      <c r="E9" s="97"/>
      <c r="F9" s="95"/>
      <c r="G9" s="94"/>
      <c r="H9" s="94"/>
      <c r="I9" s="94"/>
      <c r="J9" s="96"/>
      <c r="K9" s="65"/>
      <c r="L9" s="65"/>
      <c r="M9" s="80"/>
    </row>
    <row r="10" spans="1:14" ht="12.75">
      <c r="A10" s="88"/>
      <c r="B10" s="98"/>
      <c r="C10" s="98"/>
      <c r="D10" s="78"/>
      <c r="E10" s="97"/>
      <c r="F10" s="95"/>
      <c r="G10" s="94"/>
      <c r="H10" s="94"/>
      <c r="I10" s="94"/>
      <c r="J10" s="96"/>
      <c r="K10" s="65"/>
      <c r="L10" s="65"/>
      <c r="M10" s="80"/>
    </row>
    <row r="11" spans="1:14" ht="12.75">
      <c r="A11" s="88"/>
      <c r="B11" s="98"/>
      <c r="C11" s="98"/>
      <c r="D11" s="78"/>
      <c r="E11" s="97"/>
      <c r="F11" s="95"/>
      <c r="G11" s="94"/>
      <c r="H11" s="94"/>
      <c r="I11" s="94"/>
      <c r="J11" s="96"/>
      <c r="K11" s="65"/>
      <c r="L11" s="65"/>
      <c r="M11" s="80"/>
    </row>
    <row r="12" spans="1:14" ht="12.75">
      <c r="A12" s="88"/>
      <c r="B12" s="98"/>
      <c r="C12" s="98"/>
      <c r="D12" s="78"/>
      <c r="E12" s="97"/>
      <c r="F12" s="95"/>
      <c r="G12" s="94"/>
      <c r="H12" s="94"/>
      <c r="I12" s="94"/>
      <c r="J12" s="96"/>
      <c r="K12" s="65"/>
      <c r="L12" s="65"/>
      <c r="M12" s="80"/>
    </row>
    <row r="13" spans="1:14" ht="12.75">
      <c r="A13" s="88"/>
      <c r="B13" s="98"/>
      <c r="C13" s="98"/>
      <c r="D13" s="78"/>
      <c r="E13" s="97"/>
      <c r="F13" s="95"/>
      <c r="G13" s="94"/>
      <c r="H13" s="94"/>
      <c r="I13" s="94"/>
      <c r="J13" s="96"/>
      <c r="K13" s="65"/>
      <c r="L13" s="65"/>
      <c r="M13" s="80"/>
    </row>
    <row r="14" spans="1:14" ht="12.75">
      <c r="A14" s="88"/>
      <c r="B14" s="98"/>
      <c r="C14" s="98"/>
      <c r="D14" s="78"/>
      <c r="E14" s="97"/>
      <c r="F14" s="95"/>
      <c r="G14" s="94"/>
      <c r="H14" s="94"/>
      <c r="I14" s="94"/>
      <c r="J14" s="96"/>
      <c r="K14" s="65"/>
      <c r="L14" s="65"/>
      <c r="M14" s="80"/>
    </row>
    <row r="15" spans="1:14" ht="12.75">
      <c r="A15" s="88"/>
      <c r="B15" s="98"/>
      <c r="C15" s="98"/>
      <c r="D15" s="78"/>
      <c r="E15" s="97"/>
      <c r="F15" s="95"/>
      <c r="G15" s="94"/>
      <c r="H15" s="94"/>
      <c r="I15" s="94"/>
      <c r="J15" s="96"/>
      <c r="K15" s="65"/>
      <c r="L15" s="65"/>
      <c r="M15" s="80"/>
    </row>
    <row r="16" spans="1:14" ht="12.75">
      <c r="A16" s="88"/>
      <c r="B16" s="98"/>
      <c r="C16" s="98"/>
      <c r="D16" s="78"/>
      <c r="E16" s="97"/>
      <c r="F16" s="95"/>
      <c r="G16" s="94"/>
      <c r="H16" s="94"/>
      <c r="I16" s="94"/>
      <c r="J16" s="96"/>
      <c r="K16" s="65"/>
      <c r="L16" s="65"/>
      <c r="M16" s="80"/>
    </row>
    <row r="17" spans="1:13" ht="12.75">
      <c r="A17" s="88"/>
      <c r="B17" s="99"/>
      <c r="C17" s="99"/>
      <c r="D17" s="78"/>
      <c r="E17" s="97"/>
      <c r="F17" s="95"/>
      <c r="G17" s="94"/>
      <c r="H17" s="94"/>
      <c r="I17" s="94"/>
      <c r="J17" s="96"/>
      <c r="K17" s="65"/>
      <c r="L17" s="65"/>
      <c r="M17" s="80"/>
    </row>
    <row r="18" spans="1:13" ht="12.75">
      <c r="A18" s="88"/>
      <c r="B18" s="99"/>
      <c r="C18" s="99"/>
      <c r="D18" s="78"/>
      <c r="E18" s="97"/>
      <c r="F18" s="95"/>
      <c r="G18" s="94"/>
      <c r="H18" s="94"/>
      <c r="I18" s="94"/>
      <c r="J18" s="96"/>
      <c r="K18" s="65"/>
      <c r="L18" s="65"/>
      <c r="M18" s="80"/>
    </row>
    <row r="19" spans="1:13" ht="12.75">
      <c r="A19" s="88"/>
      <c r="B19" s="98"/>
      <c r="C19" s="98"/>
      <c r="D19" s="78"/>
      <c r="E19" s="97"/>
      <c r="F19" s="95"/>
      <c r="G19" s="94"/>
      <c r="H19" s="94"/>
      <c r="I19" s="94"/>
      <c r="J19" s="96"/>
      <c r="K19" s="65"/>
      <c r="L19" s="65"/>
      <c r="M19" s="80"/>
    </row>
    <row r="20" spans="1:13" ht="12.75">
      <c r="A20" s="65"/>
      <c r="B20" s="65"/>
      <c r="C20" s="94"/>
      <c r="D20" s="63"/>
      <c r="E20" s="97"/>
      <c r="F20" s="95"/>
      <c r="G20" s="94"/>
      <c r="H20" s="94"/>
      <c r="I20" s="94"/>
      <c r="J20" s="96"/>
      <c r="K20" s="65"/>
      <c r="L20" s="65"/>
      <c r="M20" s="80"/>
    </row>
    <row r="21" spans="1:13" ht="12.75">
      <c r="A21" s="65"/>
      <c r="B21" s="65"/>
      <c r="C21" s="94"/>
      <c r="D21" s="63"/>
      <c r="E21" s="97"/>
      <c r="F21" s="95"/>
      <c r="G21" s="94"/>
      <c r="H21" s="94"/>
      <c r="I21" s="94"/>
      <c r="J21" s="96"/>
      <c r="K21" s="65"/>
      <c r="L21" s="65"/>
      <c r="M21" s="80"/>
    </row>
    <row r="22" spans="1:13" ht="12.75">
      <c r="A22" s="65"/>
      <c r="B22" s="65"/>
      <c r="C22" s="94"/>
      <c r="D22" s="63"/>
      <c r="E22" s="97"/>
      <c r="F22" s="95"/>
      <c r="G22" s="94"/>
      <c r="H22" s="94"/>
      <c r="I22" s="94"/>
      <c r="J22" s="96"/>
      <c r="K22" s="65"/>
      <c r="L22" s="65"/>
      <c r="M22" s="80"/>
    </row>
    <row r="23" spans="1:13" ht="12.75">
      <c r="A23" s="66"/>
      <c r="B23" s="66"/>
      <c r="C23" s="66"/>
      <c r="D23" s="63"/>
      <c r="E23" s="97"/>
      <c r="F23" s="95"/>
      <c r="G23" s="94"/>
      <c r="H23" s="94"/>
      <c r="I23" s="94"/>
      <c r="J23" s="96"/>
      <c r="K23" s="65"/>
      <c r="L23" s="65"/>
      <c r="M23" s="80"/>
    </row>
    <row r="24" spans="1:13" ht="12.75">
      <c r="A24" s="89"/>
      <c r="B24" s="89"/>
      <c r="C24" s="89"/>
      <c r="D24" s="63"/>
      <c r="E24" s="97"/>
      <c r="F24" s="95"/>
      <c r="G24" s="94"/>
      <c r="H24" s="94"/>
      <c r="I24" s="94"/>
      <c r="J24" s="96"/>
      <c r="K24" s="65"/>
      <c r="L24" s="65"/>
      <c r="M24" s="80"/>
    </row>
    <row r="25" spans="1:13" ht="12.75">
      <c r="A25" s="89"/>
      <c r="B25" s="89"/>
      <c r="C25" s="89"/>
      <c r="D25" s="63"/>
      <c r="E25" s="97"/>
      <c r="F25" s="95"/>
      <c r="G25" s="94"/>
      <c r="H25" s="94"/>
      <c r="I25" s="94"/>
      <c r="J25" s="96"/>
      <c r="K25" s="65"/>
      <c r="L25" s="65"/>
      <c r="M25" s="80"/>
    </row>
    <row r="26" spans="1:13" ht="12.75">
      <c r="A26" s="66"/>
      <c r="B26" s="66"/>
      <c r="C26" s="66"/>
      <c r="D26" s="63"/>
      <c r="E26" s="97"/>
      <c r="F26" s="95"/>
      <c r="G26" s="94"/>
      <c r="H26" s="94"/>
      <c r="I26" s="94"/>
      <c r="J26" s="96"/>
      <c r="K26" s="65"/>
      <c r="L26" s="65"/>
      <c r="M26" s="80"/>
    </row>
    <row r="27" spans="1:13" ht="12.75">
      <c r="A27" s="66"/>
      <c r="B27" s="66"/>
      <c r="C27" s="66"/>
      <c r="D27" s="63"/>
      <c r="E27" s="97"/>
      <c r="F27" s="95"/>
      <c r="G27" s="94"/>
      <c r="H27" s="94"/>
      <c r="I27" s="94"/>
      <c r="J27" s="96"/>
      <c r="K27" s="65"/>
      <c r="L27" s="65"/>
      <c r="M27" s="80"/>
    </row>
    <row r="28" spans="1:13" ht="12.75">
      <c r="A28" s="66"/>
      <c r="B28" s="66"/>
      <c r="C28" s="66"/>
      <c r="D28" s="63"/>
      <c r="E28" s="97"/>
      <c r="F28" s="95"/>
      <c r="G28" s="94"/>
      <c r="H28" s="94"/>
      <c r="I28" s="94"/>
      <c r="J28" s="96"/>
      <c r="K28" s="65"/>
      <c r="L28" s="65"/>
      <c r="M28" s="80"/>
    </row>
    <row r="29" spans="1:13" ht="12.75">
      <c r="A29" s="66"/>
      <c r="B29" s="66"/>
      <c r="C29" s="66"/>
      <c r="D29" s="63"/>
      <c r="E29" s="97"/>
      <c r="F29" s="95"/>
      <c r="G29" s="94"/>
      <c r="H29" s="94"/>
      <c r="I29" s="94"/>
      <c r="J29" s="96"/>
      <c r="K29" s="65"/>
      <c r="L29" s="65"/>
      <c r="M29" s="80"/>
    </row>
    <row r="30" spans="1:13" ht="12.75">
      <c r="A30" s="66"/>
      <c r="B30" s="66"/>
      <c r="C30" s="66"/>
      <c r="D30" s="63"/>
      <c r="E30" s="97"/>
      <c r="F30" s="95"/>
      <c r="G30" s="94"/>
      <c r="H30" s="94"/>
      <c r="I30" s="94"/>
      <c r="J30" s="96"/>
      <c r="K30" s="65"/>
      <c r="L30" s="65"/>
      <c r="M30" s="80"/>
    </row>
    <row r="31" spans="1:13" ht="12.75">
      <c r="A31" s="89"/>
      <c r="B31" s="89"/>
      <c r="C31" s="89"/>
      <c r="D31" s="63"/>
      <c r="E31" s="97"/>
      <c r="F31" s="95"/>
      <c r="G31" s="94"/>
      <c r="H31" s="94"/>
      <c r="I31" s="94"/>
      <c r="J31" s="96"/>
      <c r="K31" s="65"/>
      <c r="L31" s="65"/>
      <c r="M31" s="80"/>
    </row>
    <row r="32" spans="1:13" ht="12.75">
      <c r="A32" s="89"/>
      <c r="B32" s="89"/>
      <c r="C32" s="89"/>
      <c r="D32" s="63"/>
      <c r="E32" s="97"/>
      <c r="F32" s="95"/>
      <c r="G32" s="94"/>
      <c r="H32" s="94"/>
      <c r="I32" s="94"/>
      <c r="J32" s="96"/>
      <c r="K32" s="65"/>
      <c r="L32" s="65"/>
      <c r="M32" s="80"/>
    </row>
    <row r="33" spans="1:13" ht="12.75">
      <c r="A33" s="66"/>
      <c r="B33" s="66"/>
      <c r="C33" s="66"/>
      <c r="D33" s="63"/>
      <c r="E33" s="97"/>
      <c r="F33" s="95"/>
      <c r="G33" s="94"/>
      <c r="H33" s="94"/>
      <c r="I33" s="94"/>
      <c r="J33" s="96"/>
      <c r="K33" s="65"/>
      <c r="L33" s="65"/>
      <c r="M33" s="80"/>
    </row>
    <row r="34" spans="1:13" ht="12.75">
      <c r="A34" s="66"/>
      <c r="B34" s="66"/>
      <c r="C34" s="66"/>
      <c r="D34" s="63"/>
      <c r="E34" s="97"/>
      <c r="F34" s="95"/>
      <c r="G34" s="94"/>
      <c r="H34" s="94"/>
      <c r="I34" s="94"/>
      <c r="J34" s="96"/>
      <c r="K34" s="65"/>
      <c r="L34" s="65"/>
      <c r="M34" s="80"/>
    </row>
    <row r="35" spans="1:13" ht="12.75">
      <c r="A35" s="69"/>
      <c r="B35" s="66"/>
      <c r="C35" s="66"/>
      <c r="D35" s="63"/>
      <c r="E35" s="97"/>
      <c r="F35" s="95"/>
      <c r="G35" s="94"/>
      <c r="H35" s="94"/>
      <c r="I35" s="94"/>
      <c r="J35" s="96"/>
      <c r="K35" s="65"/>
      <c r="L35" s="65"/>
      <c r="M35" s="80"/>
    </row>
    <row r="36" spans="1:13" ht="12.75">
      <c r="A36" s="89"/>
      <c r="B36" s="89"/>
      <c r="C36" s="89"/>
      <c r="D36" s="63"/>
      <c r="E36" s="97"/>
      <c r="F36" s="95"/>
      <c r="G36" s="94"/>
      <c r="H36" s="94"/>
      <c r="I36" s="94"/>
      <c r="J36" s="96"/>
      <c r="K36" s="65"/>
      <c r="L36" s="65"/>
      <c r="M36" s="80"/>
    </row>
    <row r="37" spans="1:13" ht="12.75">
      <c r="A37" s="89"/>
      <c r="B37" s="89"/>
      <c r="C37" s="89"/>
      <c r="D37" s="63"/>
      <c r="E37" s="97"/>
      <c r="F37" s="95"/>
      <c r="G37" s="94"/>
      <c r="H37" s="94"/>
      <c r="I37" s="94"/>
      <c r="J37" s="96"/>
      <c r="K37" s="65"/>
      <c r="L37" s="65"/>
      <c r="M37" s="80"/>
    </row>
    <row r="38" spans="1:13" ht="12.75">
      <c r="A38" s="66"/>
      <c r="B38" s="66"/>
      <c r="C38" s="66"/>
      <c r="D38" s="63"/>
      <c r="E38" s="97"/>
      <c r="F38" s="95"/>
      <c r="G38" s="94"/>
      <c r="H38" s="94"/>
      <c r="I38" s="94"/>
      <c r="J38" s="96"/>
      <c r="K38" s="65"/>
      <c r="L38" s="65"/>
      <c r="M38" s="80"/>
    </row>
    <row r="39" spans="1:13" ht="12.75">
      <c r="A39" s="66"/>
      <c r="B39" s="66"/>
      <c r="C39" s="66"/>
      <c r="D39" s="63"/>
      <c r="E39" s="97"/>
      <c r="F39" s="95"/>
      <c r="G39" s="94"/>
      <c r="H39" s="94"/>
      <c r="I39" s="94"/>
      <c r="J39" s="96"/>
      <c r="K39" s="65"/>
      <c r="L39" s="65"/>
      <c r="M39" s="80"/>
    </row>
    <row r="40" spans="1:13" ht="12.75">
      <c r="A40" s="66"/>
      <c r="B40" s="66"/>
      <c r="C40" s="66"/>
      <c r="D40" s="63"/>
      <c r="E40" s="97"/>
      <c r="F40" s="95"/>
      <c r="G40" s="94"/>
      <c r="H40" s="94"/>
      <c r="I40" s="94"/>
      <c r="J40" s="96"/>
      <c r="K40" s="65"/>
      <c r="L40" s="65"/>
      <c r="M40" s="80"/>
    </row>
    <row r="41" spans="1:13" ht="12.75">
      <c r="A41" s="66"/>
      <c r="B41" s="66"/>
      <c r="C41" s="66"/>
      <c r="D41" s="63"/>
      <c r="E41" s="97"/>
      <c r="F41" s="95"/>
      <c r="G41" s="94"/>
      <c r="H41" s="94"/>
      <c r="I41" s="94"/>
      <c r="J41" s="96"/>
      <c r="K41" s="65"/>
      <c r="L41" s="65"/>
      <c r="M41" s="80"/>
    </row>
    <row r="42" spans="1:13" ht="12.75">
      <c r="A42" s="69"/>
      <c r="B42" s="66"/>
      <c r="C42" s="66"/>
      <c r="D42" s="63"/>
      <c r="E42" s="97"/>
      <c r="F42" s="95"/>
      <c r="G42" s="94"/>
      <c r="H42" s="94"/>
      <c r="I42" s="94"/>
      <c r="J42" s="96"/>
      <c r="K42" s="65"/>
      <c r="L42" s="65"/>
      <c r="M42" s="80"/>
    </row>
    <row r="43" spans="1:13" ht="12.75">
      <c r="A43" s="69"/>
      <c r="B43" s="66"/>
      <c r="C43" s="66"/>
      <c r="D43" s="63"/>
      <c r="E43" s="97"/>
      <c r="F43" s="95"/>
      <c r="G43" s="94"/>
      <c r="H43" s="94"/>
      <c r="I43" s="94"/>
      <c r="J43" s="96"/>
      <c r="K43" s="65"/>
      <c r="L43" s="65"/>
      <c r="M43" s="80"/>
    </row>
    <row r="44" spans="1:13" ht="12.75">
      <c r="A44" s="66"/>
      <c r="B44" s="66"/>
      <c r="C44" s="66"/>
      <c r="D44" s="63"/>
      <c r="E44" s="97"/>
      <c r="F44" s="95"/>
      <c r="G44" s="94"/>
      <c r="H44" s="94"/>
      <c r="I44" s="94"/>
      <c r="J44" s="96"/>
      <c r="K44" s="65"/>
      <c r="L44" s="65"/>
      <c r="M44" s="80"/>
    </row>
    <row r="45" spans="1:13" ht="12.75">
      <c r="A45" s="66"/>
      <c r="B45" s="66"/>
      <c r="C45" s="66"/>
      <c r="D45" s="63"/>
      <c r="E45" s="97"/>
      <c r="F45" s="95"/>
      <c r="G45" s="94"/>
      <c r="H45" s="94"/>
      <c r="I45" s="94"/>
      <c r="J45" s="96"/>
      <c r="K45" s="65"/>
      <c r="L45" s="65"/>
      <c r="M45" s="80"/>
    </row>
    <row r="46" spans="1:13" ht="12.75">
      <c r="A46" s="66"/>
      <c r="B46" s="66"/>
      <c r="C46" s="66"/>
      <c r="D46" s="63"/>
      <c r="E46" s="97"/>
      <c r="F46" s="95"/>
      <c r="G46" s="94"/>
      <c r="H46" s="94"/>
      <c r="I46" s="94"/>
      <c r="J46" s="96"/>
      <c r="K46" s="65"/>
      <c r="L46" s="65"/>
      <c r="M46" s="80"/>
    </row>
    <row r="47" spans="1:13" ht="12.75">
      <c r="A47" s="66"/>
      <c r="B47" s="66"/>
      <c r="C47" s="66"/>
      <c r="D47" s="63"/>
      <c r="E47" s="97"/>
      <c r="F47" s="95"/>
      <c r="G47" s="94"/>
      <c r="H47" s="94"/>
      <c r="I47" s="94"/>
      <c r="J47" s="96"/>
      <c r="K47" s="65"/>
      <c r="L47" s="65"/>
      <c r="M47" s="80"/>
    </row>
    <row r="48" spans="1:13" ht="12.75">
      <c r="A48" s="66"/>
      <c r="B48" s="66"/>
      <c r="C48" s="66"/>
      <c r="D48" s="63"/>
      <c r="E48" s="97"/>
      <c r="F48" s="95"/>
      <c r="G48" s="94"/>
      <c r="H48" s="94"/>
      <c r="I48" s="94"/>
      <c r="J48" s="96"/>
      <c r="K48" s="65"/>
      <c r="L48" s="65"/>
      <c r="M48" s="80"/>
    </row>
    <row r="49" spans="1:13" ht="12.75">
      <c r="A49" s="89"/>
      <c r="B49" s="89"/>
      <c r="C49" s="89"/>
      <c r="D49" s="63"/>
      <c r="E49" s="97"/>
      <c r="F49" s="95"/>
      <c r="G49" s="94"/>
      <c r="H49" s="94"/>
      <c r="I49" s="94"/>
      <c r="J49" s="96"/>
      <c r="K49" s="65"/>
      <c r="L49" s="65"/>
      <c r="M49" s="80"/>
    </row>
    <row r="50" spans="1:13" ht="12.75">
      <c r="A50" s="89"/>
      <c r="B50" s="89"/>
      <c r="C50" s="89"/>
      <c r="D50" s="63"/>
      <c r="E50" s="97"/>
      <c r="F50" s="95"/>
      <c r="G50" s="94"/>
      <c r="H50" s="94"/>
      <c r="I50" s="94"/>
      <c r="J50" s="96"/>
      <c r="K50" s="65"/>
      <c r="L50" s="65"/>
      <c r="M50" s="80"/>
    </row>
    <row r="51" spans="1:13" ht="12.75">
      <c r="A51" s="89"/>
      <c r="B51" s="89"/>
      <c r="C51" s="89"/>
      <c r="D51" s="63"/>
      <c r="E51" s="97"/>
      <c r="F51" s="95"/>
      <c r="G51" s="94"/>
      <c r="H51" s="94"/>
      <c r="I51" s="94"/>
      <c r="J51" s="96"/>
      <c r="K51" s="65"/>
      <c r="L51" s="65"/>
      <c r="M51" s="80"/>
    </row>
    <row r="52" spans="1:13" ht="12.75">
      <c r="A52" s="89"/>
      <c r="B52" s="89"/>
      <c r="C52" s="89"/>
      <c r="D52" s="63"/>
      <c r="E52" s="97"/>
      <c r="F52" s="95"/>
      <c r="G52" s="94"/>
      <c r="H52" s="94"/>
      <c r="I52" s="94"/>
      <c r="J52" s="96"/>
      <c r="K52" s="65"/>
      <c r="L52" s="65"/>
      <c r="M52" s="80"/>
    </row>
    <row r="53" spans="1:13" ht="12.75">
      <c r="A53" s="66"/>
      <c r="B53" s="66"/>
      <c r="C53" s="66"/>
      <c r="D53" s="63"/>
      <c r="E53" s="97"/>
      <c r="F53" s="95"/>
      <c r="G53" s="94"/>
      <c r="H53" s="94"/>
      <c r="I53" s="94"/>
      <c r="J53" s="96"/>
      <c r="K53" s="65"/>
      <c r="L53" s="65"/>
      <c r="M53" s="80"/>
    </row>
    <row r="54" spans="1:13" ht="12.75">
      <c r="A54" s="66"/>
      <c r="B54" s="66"/>
      <c r="C54" s="66"/>
      <c r="D54" s="63"/>
      <c r="E54" s="97"/>
      <c r="F54" s="95"/>
      <c r="G54" s="94"/>
      <c r="H54" s="94"/>
      <c r="I54" s="94"/>
      <c r="J54" s="96"/>
      <c r="K54" s="65"/>
      <c r="L54" s="65"/>
      <c r="M54" s="80"/>
    </row>
    <row r="55" spans="1:13" ht="12.75">
      <c r="A55" s="66"/>
      <c r="B55" s="66"/>
      <c r="C55" s="66"/>
      <c r="D55" s="63"/>
      <c r="E55" s="97"/>
      <c r="F55" s="95"/>
      <c r="G55" s="94"/>
      <c r="H55" s="94"/>
      <c r="I55" s="94"/>
      <c r="J55" s="96"/>
      <c r="K55" s="65"/>
      <c r="L55" s="65"/>
      <c r="M55" s="80"/>
    </row>
    <row r="56" spans="1:13" ht="12.75">
      <c r="A56" s="66"/>
      <c r="B56" s="66"/>
      <c r="C56" s="66"/>
      <c r="D56" s="63"/>
      <c r="E56" s="97"/>
      <c r="F56" s="95"/>
      <c r="G56" s="94"/>
      <c r="H56" s="94"/>
      <c r="I56" s="94"/>
      <c r="J56" s="96"/>
      <c r="K56" s="65"/>
      <c r="L56" s="65"/>
      <c r="M56" s="80"/>
    </row>
    <row r="57" spans="1:13" ht="12.75">
      <c r="A57" s="66"/>
      <c r="B57" s="66"/>
      <c r="C57" s="66"/>
      <c r="D57" s="63"/>
      <c r="E57" s="97"/>
      <c r="F57" s="95"/>
      <c r="G57" s="94"/>
      <c r="H57" s="94"/>
      <c r="I57" s="94"/>
      <c r="J57" s="96"/>
      <c r="K57" s="65"/>
      <c r="L57" s="65"/>
      <c r="M57" s="80"/>
    </row>
    <row r="58" spans="1:13" ht="12.75">
      <c r="A58" s="89"/>
      <c r="B58" s="89"/>
      <c r="C58" s="89"/>
      <c r="D58" s="63"/>
      <c r="E58" s="97"/>
      <c r="F58" s="95"/>
      <c r="G58" s="94"/>
      <c r="H58" s="94"/>
      <c r="I58" s="94"/>
      <c r="J58" s="96"/>
      <c r="K58" s="65"/>
      <c r="L58" s="65"/>
      <c r="M58" s="80"/>
    </row>
    <row r="59" spans="1:13" ht="12.75">
      <c r="A59" s="66"/>
      <c r="B59" s="66"/>
      <c r="C59" s="66"/>
      <c r="D59" s="63"/>
      <c r="E59" s="97"/>
      <c r="F59" s="95"/>
      <c r="G59" s="94"/>
      <c r="H59" s="94"/>
      <c r="I59" s="94"/>
      <c r="J59" s="96"/>
      <c r="K59" s="65"/>
      <c r="L59" s="65"/>
      <c r="M59" s="80"/>
    </row>
    <row r="60" spans="1:13" ht="12.75">
      <c r="A60" s="66"/>
      <c r="B60" s="66"/>
      <c r="C60" s="66"/>
      <c r="D60" s="63"/>
      <c r="E60" s="97"/>
      <c r="F60" s="95"/>
      <c r="G60" s="94"/>
      <c r="H60" s="94"/>
      <c r="I60" s="94"/>
      <c r="J60" s="96"/>
      <c r="K60" s="65"/>
      <c r="L60" s="65"/>
      <c r="M60" s="80"/>
    </row>
    <row r="61" spans="1:13" ht="12.75">
      <c r="A61" s="89"/>
      <c r="B61" s="89"/>
      <c r="C61" s="89"/>
      <c r="D61" s="63"/>
      <c r="E61" s="97"/>
      <c r="F61" s="95"/>
      <c r="G61" s="94"/>
      <c r="H61" s="94"/>
      <c r="I61" s="94"/>
      <c r="J61" s="96"/>
      <c r="K61" s="65"/>
      <c r="L61" s="65"/>
      <c r="M61" s="80"/>
    </row>
    <row r="62" spans="1:13" ht="12.75">
      <c r="A62" s="89"/>
      <c r="B62" s="89"/>
      <c r="C62" s="89"/>
      <c r="D62" s="63"/>
      <c r="E62" s="97"/>
      <c r="F62" s="95"/>
      <c r="G62" s="94"/>
      <c r="H62" s="94"/>
      <c r="I62" s="94"/>
      <c r="J62" s="96"/>
      <c r="K62" s="65"/>
      <c r="L62" s="65"/>
      <c r="M62" s="80"/>
    </row>
    <row r="63" spans="1:13" ht="12.75">
      <c r="A63" s="66"/>
      <c r="B63" s="66"/>
      <c r="C63" s="66"/>
      <c r="D63" s="63"/>
      <c r="E63" s="97"/>
      <c r="F63" s="95"/>
      <c r="G63" s="94"/>
      <c r="H63" s="94"/>
      <c r="I63" s="94"/>
      <c r="J63" s="96"/>
      <c r="K63" s="65"/>
      <c r="L63" s="65"/>
      <c r="M63" s="80"/>
    </row>
    <row r="64" spans="1:13" ht="12.75">
      <c r="A64" s="66"/>
      <c r="B64" s="66"/>
      <c r="C64" s="66"/>
      <c r="D64" s="63"/>
      <c r="E64" s="97"/>
      <c r="F64" s="95"/>
      <c r="G64" s="94"/>
      <c r="H64" s="94"/>
      <c r="I64" s="94"/>
      <c r="J64" s="96"/>
      <c r="K64" s="65"/>
      <c r="L64" s="65"/>
      <c r="M64" s="80"/>
    </row>
    <row r="65" spans="1:13" ht="12.75">
      <c r="A65" s="66"/>
      <c r="B65" s="66"/>
      <c r="C65" s="66"/>
      <c r="D65" s="63"/>
      <c r="E65" s="97"/>
      <c r="F65" s="95"/>
      <c r="G65" s="94"/>
      <c r="H65" s="94"/>
      <c r="I65" s="94"/>
      <c r="J65" s="96"/>
      <c r="K65" s="65"/>
      <c r="L65" s="65"/>
      <c r="M65" s="80"/>
    </row>
    <row r="66" spans="1:13" ht="12.75">
      <c r="A66" s="66"/>
      <c r="B66" s="66"/>
      <c r="C66" s="66"/>
      <c r="D66" s="63"/>
      <c r="E66" s="97"/>
      <c r="F66" s="95"/>
      <c r="G66" s="94"/>
      <c r="H66" s="94"/>
      <c r="I66" s="94"/>
      <c r="J66" s="96"/>
      <c r="K66" s="65"/>
      <c r="L66" s="65"/>
      <c r="M66" s="80"/>
    </row>
    <row r="67" spans="1:13" ht="12.75">
      <c r="A67" s="66"/>
      <c r="B67" s="66"/>
      <c r="C67" s="66"/>
      <c r="D67" s="63"/>
      <c r="E67" s="97"/>
      <c r="F67" s="95"/>
      <c r="G67" s="94"/>
      <c r="H67" s="94"/>
      <c r="I67" s="94"/>
      <c r="J67" s="96"/>
      <c r="K67" s="65"/>
      <c r="L67" s="65"/>
      <c r="M67" s="80"/>
    </row>
    <row r="68" spans="1:13" ht="12.75">
      <c r="A68" s="66"/>
      <c r="B68" s="66"/>
      <c r="C68" s="66"/>
      <c r="D68" s="63"/>
      <c r="E68" s="97"/>
      <c r="F68" s="95"/>
      <c r="G68" s="94"/>
      <c r="H68" s="94"/>
      <c r="I68" s="94"/>
      <c r="J68" s="96"/>
      <c r="K68" s="65"/>
      <c r="L68" s="65"/>
      <c r="M68" s="80"/>
    </row>
    <row r="69" spans="1:13" ht="12.75">
      <c r="A69" s="66"/>
      <c r="B69" s="66"/>
      <c r="C69" s="66"/>
      <c r="D69" s="63"/>
      <c r="E69" s="97"/>
      <c r="F69" s="95"/>
      <c r="G69" s="94"/>
      <c r="H69" s="94"/>
      <c r="I69" s="94"/>
      <c r="J69" s="96"/>
      <c r="K69" s="65"/>
      <c r="L69" s="65"/>
      <c r="M69" s="80"/>
    </row>
    <row r="70" spans="1:13" ht="12.75">
      <c r="A70" s="89"/>
      <c r="B70" s="89"/>
      <c r="C70" s="89"/>
      <c r="D70" s="63"/>
      <c r="E70" s="97"/>
      <c r="F70" s="95"/>
      <c r="G70" s="94"/>
      <c r="H70" s="94"/>
      <c r="I70" s="94"/>
      <c r="J70" s="96"/>
      <c r="K70" s="65"/>
      <c r="L70" s="65"/>
      <c r="M70" s="80"/>
    </row>
    <row r="71" spans="1:13" ht="12.75">
      <c r="A71" s="89"/>
      <c r="B71" s="89"/>
      <c r="C71" s="89"/>
      <c r="D71" s="63"/>
      <c r="E71" s="97"/>
      <c r="F71" s="95"/>
      <c r="G71" s="94"/>
      <c r="H71" s="94"/>
      <c r="I71" s="94"/>
      <c r="J71" s="96"/>
      <c r="K71" s="65"/>
      <c r="L71" s="65"/>
      <c r="M71" s="80"/>
    </row>
    <row r="72" spans="1:13" ht="12.75">
      <c r="A72" s="66"/>
      <c r="B72" s="66"/>
      <c r="C72" s="66"/>
      <c r="D72" s="63"/>
      <c r="E72" s="97"/>
      <c r="F72" s="95"/>
      <c r="G72" s="94"/>
      <c r="H72" s="94"/>
      <c r="I72" s="94"/>
      <c r="J72" s="96"/>
      <c r="K72" s="65"/>
      <c r="L72" s="65"/>
      <c r="M72" s="80"/>
    </row>
    <row r="73" spans="1:13" ht="12.75">
      <c r="A73" s="66"/>
      <c r="B73" s="66"/>
      <c r="C73" s="66"/>
      <c r="D73" s="63"/>
      <c r="E73" s="97"/>
      <c r="F73" s="95"/>
      <c r="G73" s="94"/>
      <c r="H73" s="94"/>
      <c r="I73" s="94"/>
      <c r="J73" s="96"/>
      <c r="K73" s="65"/>
      <c r="L73" s="65"/>
      <c r="M73" s="80"/>
    </row>
    <row r="74" spans="1:13" ht="12.75">
      <c r="A74" s="66"/>
      <c r="B74" s="66"/>
      <c r="C74" s="66"/>
      <c r="D74" s="63"/>
      <c r="E74" s="97"/>
      <c r="F74" s="95"/>
      <c r="G74" s="94"/>
      <c r="H74" s="94"/>
      <c r="I74" s="94"/>
      <c r="J74" s="96"/>
      <c r="K74" s="65"/>
      <c r="L74" s="65"/>
      <c r="M74" s="80"/>
    </row>
    <row r="75" spans="1:13" ht="12.75">
      <c r="A75" s="90"/>
      <c r="B75" s="90"/>
      <c r="C75" s="90"/>
      <c r="D75" s="63"/>
      <c r="E75" s="97"/>
      <c r="F75" s="95"/>
      <c r="G75" s="94"/>
      <c r="H75" s="94"/>
      <c r="I75" s="94"/>
      <c r="J75" s="96"/>
      <c r="K75" s="65"/>
      <c r="L75" s="65"/>
      <c r="M75" s="80"/>
    </row>
    <row r="76" spans="1:13" ht="12.75">
      <c r="A76" s="66"/>
      <c r="B76" s="66"/>
      <c r="C76" s="66"/>
      <c r="D76" s="63"/>
      <c r="E76" s="97"/>
      <c r="F76" s="95"/>
      <c r="G76" s="94"/>
      <c r="H76" s="94"/>
      <c r="I76" s="94"/>
      <c r="J76" s="96"/>
      <c r="K76" s="65"/>
      <c r="L76" s="65"/>
      <c r="M76" s="80"/>
    </row>
    <row r="77" spans="1:13" ht="12.75">
      <c r="A77" s="89"/>
      <c r="B77" s="89"/>
      <c r="C77" s="89"/>
      <c r="D77" s="63"/>
      <c r="E77" s="97"/>
      <c r="F77" s="95"/>
      <c r="G77" s="94"/>
      <c r="H77" s="94"/>
      <c r="I77" s="94"/>
      <c r="J77" s="96"/>
      <c r="K77" s="65"/>
      <c r="L77" s="65"/>
      <c r="M77" s="80"/>
    </row>
    <row r="78" spans="1:13" ht="12.75">
      <c r="A78" s="89"/>
      <c r="B78" s="89"/>
      <c r="C78" s="89"/>
      <c r="D78" s="63"/>
      <c r="E78" s="97"/>
      <c r="F78" s="95"/>
      <c r="G78" s="94"/>
      <c r="H78" s="94"/>
      <c r="I78" s="94"/>
      <c r="J78" s="96"/>
      <c r="K78" s="65"/>
      <c r="L78" s="65"/>
      <c r="M78" s="80"/>
    </row>
    <row r="79" spans="1:13" ht="12.75">
      <c r="A79" s="89"/>
      <c r="B79" s="89"/>
      <c r="C79" s="89"/>
      <c r="D79" s="63"/>
      <c r="E79" s="97"/>
      <c r="F79" s="95"/>
      <c r="G79" s="94"/>
      <c r="H79" s="94"/>
      <c r="I79" s="94"/>
      <c r="J79" s="96"/>
      <c r="K79" s="65"/>
      <c r="L79" s="65"/>
      <c r="M79" s="80"/>
    </row>
    <row r="80" spans="1:13" ht="12.75">
      <c r="A80" s="66"/>
      <c r="B80" s="66"/>
      <c r="C80" s="66"/>
      <c r="D80" s="63"/>
      <c r="E80" s="97"/>
      <c r="F80" s="95"/>
      <c r="G80" s="94"/>
      <c r="H80" s="94"/>
      <c r="I80" s="94"/>
      <c r="J80" s="96"/>
      <c r="K80" s="65"/>
      <c r="L80" s="65"/>
      <c r="M80" s="80"/>
    </row>
    <row r="81" spans="1:13" ht="12.75">
      <c r="A81" s="66"/>
      <c r="B81" s="66"/>
      <c r="C81" s="66"/>
      <c r="D81" s="63"/>
      <c r="E81" s="97"/>
      <c r="F81" s="95"/>
      <c r="G81" s="94"/>
      <c r="H81" s="94"/>
      <c r="I81" s="94"/>
      <c r="J81" s="96"/>
      <c r="K81" s="65"/>
      <c r="L81" s="65"/>
      <c r="M81" s="80"/>
    </row>
    <row r="82" spans="1:13" ht="12.75">
      <c r="A82" s="89"/>
      <c r="B82" s="89"/>
      <c r="C82" s="89"/>
      <c r="D82" s="63"/>
      <c r="E82" s="97"/>
      <c r="F82" s="95"/>
      <c r="G82" s="94"/>
      <c r="H82" s="94"/>
      <c r="I82" s="94"/>
      <c r="J82" s="96"/>
      <c r="K82" s="65"/>
      <c r="L82" s="65"/>
      <c r="M82" s="80"/>
    </row>
    <row r="83" spans="1:13" ht="12.75">
      <c r="A83" s="66"/>
      <c r="B83" s="66"/>
      <c r="C83" s="66"/>
      <c r="D83" s="63"/>
      <c r="E83" s="97"/>
      <c r="F83" s="95"/>
      <c r="G83" s="94"/>
      <c r="H83" s="94"/>
      <c r="I83" s="94"/>
      <c r="J83" s="96"/>
      <c r="K83" s="65"/>
      <c r="L83" s="65"/>
      <c r="M83" s="80"/>
    </row>
    <row r="84" spans="1:13" ht="12.75">
      <c r="A84" s="66"/>
      <c r="B84" s="66"/>
      <c r="C84" s="66"/>
      <c r="D84" s="63"/>
      <c r="E84" s="97"/>
      <c r="F84" s="95"/>
      <c r="G84" s="94"/>
      <c r="H84" s="94"/>
      <c r="I84" s="94"/>
      <c r="J84" s="96"/>
      <c r="K84" s="65"/>
      <c r="L84" s="65"/>
      <c r="M84" s="80"/>
    </row>
    <row r="85" spans="1:13" ht="12.75">
      <c r="A85" s="89"/>
      <c r="B85" s="89"/>
      <c r="C85" s="89"/>
      <c r="D85" s="63"/>
      <c r="E85" s="97"/>
      <c r="F85" s="95"/>
      <c r="G85" s="94"/>
      <c r="H85" s="94"/>
      <c r="I85" s="94"/>
      <c r="J85" s="96"/>
      <c r="K85" s="65"/>
      <c r="L85" s="65"/>
      <c r="M85" s="80"/>
    </row>
    <row r="86" spans="1:13" ht="12.75">
      <c r="A86" s="89"/>
      <c r="B86" s="89"/>
      <c r="C86" s="89"/>
      <c r="D86" s="63"/>
      <c r="E86" s="97"/>
      <c r="F86" s="95"/>
      <c r="G86" s="94"/>
      <c r="H86" s="94"/>
      <c r="I86" s="94"/>
      <c r="J86" s="96"/>
      <c r="K86" s="65"/>
      <c r="L86" s="65"/>
      <c r="M86" s="80"/>
    </row>
    <row r="87" spans="1:13" ht="12.75">
      <c r="A87" s="89"/>
      <c r="B87" s="89"/>
      <c r="C87" s="89"/>
      <c r="D87" s="63"/>
      <c r="E87" s="97"/>
      <c r="F87" s="95"/>
      <c r="G87" s="94"/>
      <c r="H87" s="94"/>
      <c r="I87" s="94"/>
      <c r="J87" s="96"/>
      <c r="K87" s="65"/>
      <c r="L87" s="65"/>
      <c r="M87" s="80"/>
    </row>
    <row r="88" spans="1:13" ht="12.75">
      <c r="A88" s="89"/>
      <c r="B88" s="89"/>
      <c r="C88" s="89"/>
      <c r="D88" s="63"/>
      <c r="E88" s="97"/>
      <c r="F88" s="95"/>
      <c r="G88" s="94"/>
      <c r="H88" s="94"/>
      <c r="I88" s="94"/>
      <c r="J88" s="96"/>
      <c r="K88" s="65"/>
      <c r="L88" s="65"/>
      <c r="M88" s="80"/>
    </row>
    <row r="89" spans="1:13" ht="12.75">
      <c r="A89" s="89"/>
      <c r="B89" s="89"/>
      <c r="C89" s="89"/>
      <c r="D89" s="63"/>
      <c r="E89" s="97"/>
      <c r="F89" s="95"/>
      <c r="G89" s="94"/>
      <c r="H89" s="94"/>
      <c r="I89" s="94"/>
      <c r="J89" s="96"/>
      <c r="K89" s="65"/>
      <c r="L89" s="65"/>
      <c r="M89" s="80"/>
    </row>
    <row r="90" spans="1:13" ht="12.75">
      <c r="A90" s="89"/>
      <c r="B90" s="89"/>
      <c r="C90" s="89"/>
      <c r="D90" s="63"/>
      <c r="E90" s="97"/>
      <c r="F90" s="95"/>
      <c r="G90" s="94"/>
      <c r="H90" s="94"/>
      <c r="I90" s="94"/>
      <c r="J90" s="96"/>
      <c r="K90" s="65"/>
      <c r="L90" s="65"/>
      <c r="M90" s="80"/>
    </row>
    <row r="91" spans="1:13" ht="12.75">
      <c r="A91" s="89"/>
      <c r="B91" s="89"/>
      <c r="C91" s="89"/>
      <c r="D91" s="63"/>
      <c r="E91" s="97"/>
      <c r="F91" s="95"/>
      <c r="G91" s="94"/>
      <c r="H91" s="94"/>
      <c r="I91" s="94"/>
      <c r="J91" s="96"/>
      <c r="K91" s="65"/>
      <c r="L91" s="65"/>
      <c r="M91" s="80"/>
    </row>
    <row r="92" spans="1:13" ht="12.75">
      <c r="A92" s="89"/>
      <c r="B92" s="89"/>
      <c r="C92" s="89"/>
      <c r="D92" s="63"/>
      <c r="E92" s="97"/>
      <c r="F92" s="95"/>
      <c r="G92" s="94"/>
      <c r="H92" s="94"/>
      <c r="I92" s="94"/>
      <c r="J92" s="96"/>
      <c r="K92" s="65"/>
      <c r="L92" s="65"/>
      <c r="M92" s="80"/>
    </row>
    <row r="93" spans="1:13" ht="12.75">
      <c r="A93" s="89"/>
      <c r="B93" s="89"/>
      <c r="C93" s="89"/>
      <c r="D93" s="63"/>
      <c r="E93" s="97"/>
      <c r="F93" s="95"/>
      <c r="G93" s="94"/>
      <c r="H93" s="94"/>
      <c r="I93" s="94"/>
      <c r="J93" s="96"/>
      <c r="K93" s="65"/>
      <c r="L93" s="65"/>
      <c r="M93" s="80"/>
    </row>
    <row r="94" spans="1:13" ht="12.75">
      <c r="A94" s="89"/>
      <c r="B94" s="89"/>
      <c r="C94" s="89"/>
      <c r="D94" s="63"/>
      <c r="E94" s="97"/>
      <c r="F94" s="95"/>
      <c r="G94" s="94"/>
      <c r="H94" s="94"/>
      <c r="I94" s="94"/>
      <c r="J94" s="96"/>
      <c r="K94" s="65"/>
      <c r="L94" s="65"/>
      <c r="M94" s="80"/>
    </row>
    <row r="95" spans="1:13" ht="12.75">
      <c r="A95" s="89"/>
      <c r="B95" s="89"/>
      <c r="C95" s="89"/>
      <c r="D95" s="63"/>
      <c r="E95" s="97"/>
      <c r="F95" s="95"/>
      <c r="G95" s="94"/>
      <c r="H95" s="94"/>
      <c r="I95" s="94"/>
      <c r="J95" s="96"/>
      <c r="K95" s="65"/>
      <c r="L95" s="65"/>
      <c r="M95" s="80"/>
    </row>
    <row r="96" spans="1:13" ht="12.75">
      <c r="A96" s="89"/>
      <c r="B96" s="89"/>
      <c r="C96" s="89"/>
      <c r="D96" s="63"/>
      <c r="E96" s="97"/>
      <c r="F96" s="95"/>
      <c r="G96" s="94"/>
      <c r="H96" s="94"/>
      <c r="I96" s="94"/>
      <c r="J96" s="96"/>
      <c r="K96" s="65"/>
      <c r="L96" s="65"/>
      <c r="M96" s="80"/>
    </row>
    <row r="97" spans="1:13" ht="12.75">
      <c r="A97" s="89"/>
      <c r="B97" s="89"/>
      <c r="C97" s="89"/>
      <c r="D97" s="63"/>
      <c r="E97" s="97"/>
      <c r="F97" s="95"/>
      <c r="G97" s="94"/>
      <c r="H97" s="94"/>
      <c r="I97" s="94"/>
      <c r="J97" s="96"/>
      <c r="K97" s="65"/>
      <c r="L97" s="65"/>
      <c r="M97" s="80"/>
    </row>
    <row r="98" spans="1:13" ht="12.75">
      <c r="A98" s="89"/>
      <c r="B98" s="89"/>
      <c r="C98" s="89"/>
      <c r="D98" s="63"/>
      <c r="E98" s="97"/>
      <c r="F98" s="95"/>
      <c r="G98" s="94"/>
      <c r="H98" s="94"/>
      <c r="I98" s="94"/>
      <c r="J98" s="96"/>
      <c r="K98" s="65"/>
      <c r="L98" s="65"/>
      <c r="M98" s="80"/>
    </row>
    <row r="99" spans="1:13" ht="12.75">
      <c r="A99" s="89"/>
      <c r="B99" s="89"/>
      <c r="C99" s="89"/>
      <c r="D99" s="63"/>
      <c r="E99" s="97"/>
      <c r="F99" s="95"/>
      <c r="G99" s="94"/>
      <c r="H99" s="94"/>
      <c r="I99" s="94"/>
      <c r="J99" s="96"/>
      <c r="K99" s="65"/>
      <c r="L99" s="65"/>
      <c r="M99" s="80"/>
    </row>
    <row r="100" spans="1:13" ht="12.75">
      <c r="A100" s="89"/>
      <c r="B100" s="89"/>
      <c r="C100" s="89"/>
      <c r="D100" s="63"/>
      <c r="E100" s="97"/>
      <c r="F100" s="95"/>
      <c r="G100" s="94"/>
      <c r="H100" s="94"/>
      <c r="I100" s="94"/>
      <c r="J100" s="96"/>
      <c r="K100" s="65"/>
      <c r="L100" s="65"/>
      <c r="M100" s="80"/>
    </row>
    <row r="101" spans="1:13" ht="12.75">
      <c r="A101" s="89"/>
      <c r="B101" s="89"/>
      <c r="C101" s="89"/>
      <c r="D101" s="63"/>
      <c r="E101" s="97"/>
      <c r="F101" s="95"/>
      <c r="G101" s="94"/>
      <c r="H101" s="94"/>
      <c r="I101" s="94"/>
      <c r="J101" s="96"/>
      <c r="K101" s="65"/>
      <c r="L101" s="65"/>
      <c r="M101" s="80"/>
    </row>
    <row r="102" spans="1:13" ht="12.75">
      <c r="A102" s="89"/>
      <c r="B102" s="89"/>
      <c r="C102" s="89"/>
      <c r="D102" s="63"/>
      <c r="E102" s="97"/>
      <c r="F102" s="95"/>
      <c r="G102" s="94"/>
      <c r="H102" s="94"/>
      <c r="I102" s="94"/>
      <c r="J102" s="96"/>
      <c r="K102" s="65"/>
      <c r="L102" s="65"/>
      <c r="M102" s="80"/>
    </row>
    <row r="103" spans="1:13" ht="12.75">
      <c r="A103" s="89"/>
      <c r="B103" s="89"/>
      <c r="C103" s="89"/>
      <c r="D103" s="63"/>
      <c r="E103" s="97"/>
      <c r="F103" s="95"/>
      <c r="G103" s="94"/>
      <c r="H103" s="94"/>
      <c r="I103" s="94"/>
      <c r="J103" s="96"/>
      <c r="K103" s="65"/>
      <c r="L103" s="65"/>
      <c r="M103" s="80"/>
    </row>
    <row r="104" spans="1:13" ht="12.75">
      <c r="A104" s="89"/>
      <c r="B104" s="89"/>
      <c r="C104" s="89"/>
      <c r="D104" s="63"/>
      <c r="E104" s="97"/>
      <c r="F104" s="95"/>
      <c r="G104" s="94"/>
      <c r="H104" s="94"/>
      <c r="I104" s="94"/>
      <c r="J104" s="96"/>
      <c r="K104" s="65"/>
      <c r="L104" s="65"/>
      <c r="M104" s="80"/>
    </row>
    <row r="105" spans="1:13" ht="12.75">
      <c r="A105" s="89"/>
      <c r="B105" s="89"/>
      <c r="C105" s="89"/>
      <c r="D105" s="63"/>
      <c r="E105" s="97"/>
      <c r="F105" s="95"/>
      <c r="G105" s="94"/>
      <c r="H105" s="94"/>
      <c r="I105" s="94"/>
      <c r="J105" s="96"/>
      <c r="K105" s="65"/>
      <c r="L105" s="65"/>
      <c r="M105" s="80"/>
    </row>
    <row r="106" spans="1:13" ht="12.75">
      <c r="A106" s="89"/>
      <c r="B106" s="89"/>
      <c r="C106" s="89"/>
      <c r="D106" s="63"/>
      <c r="E106" s="97"/>
      <c r="F106" s="95"/>
      <c r="G106" s="94"/>
      <c r="H106" s="94"/>
      <c r="I106" s="94"/>
      <c r="J106" s="96"/>
      <c r="K106" s="65"/>
      <c r="L106" s="65"/>
      <c r="M106" s="80"/>
    </row>
    <row r="107" spans="1:13" ht="12.75">
      <c r="A107" s="90"/>
      <c r="B107" s="90"/>
      <c r="C107" s="90"/>
      <c r="D107" s="63"/>
      <c r="E107" s="97"/>
      <c r="F107" s="95"/>
      <c r="G107" s="94"/>
      <c r="H107" s="94"/>
      <c r="I107" s="94"/>
      <c r="J107" s="96"/>
      <c r="K107" s="65"/>
      <c r="L107" s="65"/>
      <c r="M107" s="80"/>
    </row>
    <row r="108" spans="1:13" ht="12.75">
      <c r="A108" s="89"/>
      <c r="B108" s="89"/>
      <c r="C108" s="89"/>
      <c r="D108" s="63"/>
      <c r="E108" s="97"/>
      <c r="F108" s="95"/>
      <c r="G108" s="94"/>
      <c r="H108" s="94"/>
      <c r="I108" s="94"/>
      <c r="J108" s="96"/>
      <c r="K108" s="65"/>
      <c r="L108" s="65"/>
      <c r="M108" s="80"/>
    </row>
    <row r="109" spans="1:13" ht="12.75">
      <c r="A109" s="89"/>
      <c r="B109" s="89"/>
      <c r="C109" s="89"/>
      <c r="D109" s="63"/>
      <c r="E109" s="97"/>
      <c r="F109" s="95"/>
      <c r="G109" s="94"/>
      <c r="H109" s="94"/>
      <c r="I109" s="94"/>
      <c r="J109" s="96"/>
      <c r="K109" s="65"/>
      <c r="L109" s="65"/>
      <c r="M109" s="80"/>
    </row>
    <row r="110" spans="1:13" ht="12.75">
      <c r="A110" s="89"/>
      <c r="B110" s="89"/>
      <c r="C110" s="89"/>
      <c r="D110" s="63"/>
      <c r="E110" s="97"/>
      <c r="F110" s="95"/>
      <c r="G110" s="94"/>
      <c r="H110" s="94"/>
      <c r="I110" s="94"/>
      <c r="J110" s="96"/>
      <c r="K110" s="65"/>
      <c r="L110" s="65"/>
      <c r="M110" s="80"/>
    </row>
    <row r="111" spans="1:13" ht="12.75">
      <c r="A111" s="89"/>
      <c r="B111" s="89"/>
      <c r="C111" s="89"/>
      <c r="D111" s="63"/>
      <c r="E111" s="97"/>
      <c r="F111" s="95"/>
      <c r="G111" s="94"/>
      <c r="H111" s="94"/>
      <c r="I111" s="94"/>
      <c r="J111" s="96"/>
      <c r="K111" s="65"/>
      <c r="L111" s="65"/>
      <c r="M111" s="80"/>
    </row>
    <row r="112" spans="1:13" ht="12.75">
      <c r="A112" s="89"/>
      <c r="B112" s="89"/>
      <c r="C112" s="89"/>
      <c r="D112" s="63"/>
      <c r="E112" s="97"/>
      <c r="F112" s="95"/>
      <c r="G112" s="94"/>
      <c r="H112" s="94"/>
      <c r="I112" s="94"/>
      <c r="J112" s="96"/>
      <c r="K112" s="65"/>
      <c r="L112" s="65"/>
      <c r="M112" s="80"/>
    </row>
    <row r="113" spans="1:13" ht="12.75">
      <c r="A113" s="90"/>
      <c r="B113" s="90"/>
      <c r="C113" s="90"/>
      <c r="D113" s="63"/>
      <c r="E113" s="97"/>
      <c r="F113" s="95"/>
      <c r="G113" s="94"/>
      <c r="H113" s="94"/>
      <c r="I113" s="94"/>
      <c r="J113" s="96"/>
      <c r="K113" s="65"/>
      <c r="L113" s="65"/>
      <c r="M113" s="80"/>
    </row>
    <row r="114" spans="1:13" ht="12.75">
      <c r="A114" s="89"/>
      <c r="B114" s="89"/>
      <c r="C114" s="89"/>
      <c r="D114" s="63"/>
      <c r="E114" s="97"/>
      <c r="F114" s="95"/>
      <c r="G114" s="94"/>
      <c r="H114" s="94"/>
      <c r="I114" s="94"/>
      <c r="J114" s="96"/>
      <c r="K114" s="65"/>
      <c r="L114" s="65"/>
      <c r="M114" s="80"/>
    </row>
    <row r="115" spans="1:13" ht="12.75">
      <c r="A115" s="89"/>
      <c r="B115" s="89"/>
      <c r="C115" s="89"/>
      <c r="D115" s="63"/>
      <c r="E115" s="97"/>
      <c r="F115" s="95"/>
      <c r="G115" s="94"/>
      <c r="H115" s="94"/>
      <c r="I115" s="94"/>
      <c r="J115" s="96"/>
      <c r="K115" s="65"/>
      <c r="L115" s="65"/>
      <c r="M115" s="80"/>
    </row>
    <row r="116" spans="1:13" ht="12.75">
      <c r="A116" s="89"/>
      <c r="B116" s="89"/>
      <c r="C116" s="89"/>
      <c r="D116" s="63"/>
      <c r="E116" s="97"/>
      <c r="F116" s="95"/>
      <c r="G116" s="94"/>
      <c r="H116" s="94"/>
      <c r="I116" s="94"/>
      <c r="J116" s="96"/>
      <c r="K116" s="65"/>
      <c r="L116" s="65"/>
      <c r="M116" s="80"/>
    </row>
    <row r="117" spans="1:13" ht="12.75">
      <c r="A117" s="89"/>
      <c r="B117" s="89"/>
      <c r="C117" s="89"/>
      <c r="D117" s="63"/>
      <c r="E117" s="97"/>
      <c r="F117" s="95"/>
      <c r="G117" s="94"/>
      <c r="H117" s="94"/>
      <c r="I117" s="94"/>
      <c r="J117" s="96"/>
      <c r="K117" s="65"/>
      <c r="L117" s="65"/>
      <c r="M117" s="80"/>
    </row>
    <row r="118" spans="1:13" ht="12.75">
      <c r="A118" s="89"/>
      <c r="B118" s="89"/>
      <c r="C118" s="89"/>
      <c r="D118" s="63"/>
      <c r="E118" s="97"/>
      <c r="F118" s="95"/>
      <c r="G118" s="94"/>
      <c r="H118" s="94"/>
      <c r="I118" s="94"/>
      <c r="J118" s="96"/>
      <c r="K118" s="65"/>
      <c r="L118" s="65"/>
      <c r="M118" s="80"/>
    </row>
    <row r="119" spans="1:13" ht="12.75">
      <c r="A119" s="89"/>
      <c r="B119" s="89"/>
      <c r="C119" s="89"/>
      <c r="D119" s="63"/>
      <c r="E119" s="97"/>
      <c r="F119" s="95"/>
      <c r="G119" s="94"/>
      <c r="H119" s="94"/>
      <c r="I119" s="94"/>
      <c r="J119" s="96"/>
      <c r="K119" s="65"/>
      <c r="L119" s="65"/>
      <c r="M119" s="80"/>
    </row>
    <row r="120" spans="1:13" ht="12.75">
      <c r="A120" s="89"/>
      <c r="B120" s="89"/>
      <c r="C120" s="89"/>
      <c r="D120" s="63"/>
      <c r="E120" s="97"/>
      <c r="F120" s="95"/>
      <c r="G120" s="94"/>
      <c r="H120" s="94"/>
      <c r="I120" s="94"/>
      <c r="J120" s="96"/>
      <c r="K120" s="65"/>
      <c r="L120" s="65"/>
      <c r="M120" s="80"/>
    </row>
    <row r="121" spans="1:13" ht="12.75">
      <c r="A121" s="89"/>
      <c r="B121" s="89"/>
      <c r="C121" s="89"/>
      <c r="D121" s="63"/>
      <c r="E121" s="97"/>
      <c r="F121" s="95"/>
      <c r="G121" s="94"/>
      <c r="H121" s="94"/>
      <c r="I121" s="94"/>
      <c r="J121" s="96"/>
      <c r="K121" s="65"/>
      <c r="L121" s="65"/>
      <c r="M121" s="80"/>
    </row>
    <row r="122" spans="1:13" ht="12.75">
      <c r="A122" s="89"/>
      <c r="B122" s="89"/>
      <c r="C122" s="89"/>
      <c r="D122" s="63"/>
      <c r="E122" s="97"/>
      <c r="F122" s="95"/>
      <c r="G122" s="94"/>
      <c r="H122" s="94"/>
      <c r="I122" s="94"/>
      <c r="J122" s="96"/>
      <c r="K122" s="65"/>
      <c r="L122" s="65"/>
      <c r="M122" s="80"/>
    </row>
    <row r="123" spans="1:13" ht="12.75">
      <c r="A123" s="89"/>
      <c r="B123" s="89"/>
      <c r="C123" s="89"/>
      <c r="D123" s="63"/>
      <c r="E123" s="97"/>
      <c r="F123" s="95"/>
      <c r="G123" s="94"/>
      <c r="H123" s="94"/>
      <c r="I123" s="94"/>
      <c r="J123" s="96"/>
      <c r="K123" s="65"/>
      <c r="L123" s="65"/>
      <c r="M123" s="80"/>
    </row>
    <row r="124" spans="1:13" ht="12.75">
      <c r="A124" s="89"/>
      <c r="B124" s="89"/>
      <c r="C124" s="89"/>
      <c r="D124" s="63"/>
      <c r="E124" s="97"/>
      <c r="F124" s="95"/>
      <c r="G124" s="94"/>
      <c r="H124" s="94"/>
      <c r="I124" s="94"/>
      <c r="J124" s="96"/>
      <c r="K124" s="65"/>
      <c r="L124" s="65"/>
      <c r="M124" s="80"/>
    </row>
    <row r="125" spans="1:13" ht="12.75">
      <c r="A125" s="89"/>
      <c r="B125" s="89"/>
      <c r="C125" s="89"/>
      <c r="D125" s="63"/>
      <c r="E125" s="97"/>
      <c r="F125" s="95"/>
      <c r="G125" s="94"/>
      <c r="H125" s="94"/>
      <c r="I125" s="94"/>
      <c r="J125" s="96"/>
      <c r="K125" s="65"/>
      <c r="L125" s="65"/>
      <c r="M125" s="80"/>
    </row>
    <row r="126" spans="1:13" ht="12.75">
      <c r="A126" s="89"/>
      <c r="B126" s="89"/>
      <c r="C126" s="89"/>
      <c r="D126" s="63"/>
      <c r="E126" s="97"/>
      <c r="F126" s="95"/>
      <c r="G126" s="94"/>
      <c r="H126" s="94"/>
      <c r="I126" s="94"/>
      <c r="J126" s="96"/>
      <c r="K126" s="65"/>
      <c r="L126" s="65"/>
      <c r="M126" s="80"/>
    </row>
    <row r="127" spans="1:13" ht="12.75">
      <c r="A127" s="89"/>
      <c r="B127" s="89"/>
      <c r="C127" s="89"/>
      <c r="D127" s="63"/>
      <c r="E127" s="97"/>
      <c r="F127" s="95"/>
      <c r="G127" s="94"/>
      <c r="H127" s="94"/>
      <c r="I127" s="94"/>
      <c r="J127" s="96"/>
      <c r="K127" s="65"/>
      <c r="L127" s="65"/>
      <c r="M127" s="80"/>
    </row>
    <row r="128" spans="1:13" ht="12.75">
      <c r="A128" s="89"/>
      <c r="B128" s="89"/>
      <c r="C128" s="89"/>
      <c r="D128" s="63"/>
      <c r="E128" s="97"/>
      <c r="F128" s="95"/>
      <c r="G128" s="94"/>
      <c r="H128" s="94"/>
      <c r="I128" s="94"/>
      <c r="J128" s="96"/>
      <c r="K128" s="65"/>
      <c r="L128" s="65"/>
      <c r="M128" s="80"/>
    </row>
    <row r="129" spans="1:13" ht="12.75">
      <c r="A129" s="89"/>
      <c r="B129" s="89"/>
      <c r="C129" s="89"/>
      <c r="D129" s="63"/>
      <c r="E129" s="97"/>
      <c r="F129" s="95"/>
      <c r="G129" s="94"/>
      <c r="H129" s="94"/>
      <c r="I129" s="94"/>
      <c r="J129" s="96"/>
      <c r="K129" s="65"/>
      <c r="L129" s="65"/>
      <c r="M129" s="80"/>
    </row>
    <row r="130" spans="1:13" ht="12.75">
      <c r="A130" s="89"/>
      <c r="B130" s="89"/>
      <c r="C130" s="89"/>
      <c r="D130" s="63"/>
      <c r="E130" s="97"/>
      <c r="F130" s="95"/>
      <c r="G130" s="94"/>
      <c r="H130" s="94"/>
      <c r="I130" s="94"/>
      <c r="J130" s="96"/>
      <c r="K130" s="65"/>
      <c r="L130" s="65"/>
      <c r="M130" s="80"/>
    </row>
    <row r="131" spans="1:13" ht="12.75">
      <c r="A131" s="89"/>
      <c r="B131" s="89"/>
      <c r="C131" s="89"/>
      <c r="D131" s="63"/>
      <c r="E131" s="97"/>
      <c r="F131" s="95"/>
      <c r="G131" s="94"/>
      <c r="H131" s="94"/>
      <c r="I131" s="94"/>
      <c r="J131" s="96"/>
      <c r="K131" s="65"/>
      <c r="L131" s="65"/>
      <c r="M131" s="80"/>
    </row>
    <row r="132" spans="1:13" ht="12.75">
      <c r="A132" s="89"/>
      <c r="B132" s="89"/>
      <c r="C132" s="89"/>
      <c r="D132" s="63"/>
      <c r="E132" s="97"/>
      <c r="F132" s="95"/>
      <c r="G132" s="94"/>
      <c r="H132" s="94"/>
      <c r="I132" s="94"/>
      <c r="J132" s="96"/>
      <c r="K132" s="65"/>
      <c r="L132" s="65"/>
      <c r="M132" s="80"/>
    </row>
    <row r="133" spans="1:13" ht="12.75">
      <c r="A133" s="89"/>
      <c r="B133" s="89"/>
      <c r="C133" s="89"/>
      <c r="D133" s="63"/>
      <c r="E133" s="97"/>
      <c r="F133" s="95"/>
      <c r="G133" s="94"/>
      <c r="H133" s="94"/>
      <c r="I133" s="94"/>
      <c r="J133" s="96"/>
      <c r="K133" s="65"/>
      <c r="L133" s="65"/>
      <c r="M133" s="80"/>
    </row>
    <row r="134" spans="1:13" ht="12.75">
      <c r="A134" s="89"/>
      <c r="B134" s="89"/>
      <c r="C134" s="89"/>
      <c r="D134" s="63"/>
      <c r="E134" s="97"/>
      <c r="F134" s="95"/>
      <c r="G134" s="94"/>
      <c r="H134" s="94"/>
      <c r="I134" s="94"/>
      <c r="J134" s="96"/>
      <c r="K134" s="65"/>
      <c r="L134" s="65"/>
      <c r="M134" s="80"/>
    </row>
    <row r="135" spans="1:13" ht="12.75">
      <c r="A135" s="89"/>
      <c r="B135" s="89"/>
      <c r="C135" s="89"/>
      <c r="D135" s="63"/>
      <c r="E135" s="97"/>
      <c r="F135" s="95"/>
      <c r="G135" s="94"/>
      <c r="H135" s="94"/>
      <c r="I135" s="94"/>
      <c r="J135" s="96"/>
      <c r="K135" s="65"/>
      <c r="L135" s="65"/>
      <c r="M135" s="80"/>
    </row>
    <row r="136" spans="1:13" ht="12.75">
      <c r="A136" s="89"/>
      <c r="B136" s="89"/>
      <c r="C136" s="89"/>
      <c r="D136" s="63"/>
      <c r="E136" s="97"/>
      <c r="F136" s="95"/>
      <c r="G136" s="94"/>
      <c r="H136" s="94"/>
      <c r="I136" s="94"/>
      <c r="J136" s="96"/>
      <c r="K136" s="65"/>
      <c r="L136" s="65"/>
      <c r="M136" s="80"/>
    </row>
    <row r="137" spans="1:13" ht="12.75">
      <c r="A137" s="89"/>
      <c r="B137" s="89"/>
      <c r="C137" s="89"/>
      <c r="D137" s="63"/>
      <c r="E137" s="97"/>
      <c r="F137" s="95"/>
      <c r="G137" s="94"/>
      <c r="H137" s="94"/>
      <c r="I137" s="94"/>
      <c r="J137" s="96"/>
      <c r="K137" s="65"/>
      <c r="L137" s="65"/>
      <c r="M137" s="80"/>
    </row>
    <row r="138" spans="1:13" ht="12.75">
      <c r="A138" s="89"/>
      <c r="B138" s="89"/>
      <c r="C138" s="89"/>
      <c r="D138" s="63"/>
      <c r="E138" s="97"/>
      <c r="F138" s="95"/>
      <c r="G138" s="94"/>
      <c r="H138" s="94"/>
      <c r="I138" s="94"/>
      <c r="J138" s="96"/>
      <c r="K138" s="65"/>
      <c r="L138" s="65"/>
      <c r="M138" s="80"/>
    </row>
    <row r="139" spans="1:13" ht="12.75">
      <c r="A139" s="66"/>
      <c r="B139" s="66"/>
      <c r="C139" s="66"/>
      <c r="D139" s="63"/>
      <c r="E139" s="97"/>
      <c r="F139" s="95"/>
      <c r="G139" s="94"/>
      <c r="H139" s="94"/>
      <c r="I139" s="94"/>
      <c r="J139" s="96"/>
      <c r="K139" s="65"/>
      <c r="L139" s="65"/>
      <c r="M139" s="80"/>
    </row>
    <row r="140" spans="1:13" ht="12.75">
      <c r="A140" s="89"/>
      <c r="B140" s="89"/>
      <c r="C140" s="89"/>
      <c r="D140" s="63"/>
      <c r="E140" s="97"/>
      <c r="F140" s="95"/>
      <c r="G140" s="94"/>
      <c r="H140" s="94"/>
      <c r="I140" s="94"/>
      <c r="J140" s="96"/>
      <c r="K140" s="65"/>
      <c r="L140" s="65"/>
      <c r="M140" s="80"/>
    </row>
    <row r="141" spans="1:13" ht="12.75">
      <c r="A141" s="89"/>
      <c r="B141" s="89"/>
      <c r="C141" s="89"/>
      <c r="D141" s="63"/>
      <c r="E141" s="97"/>
      <c r="F141" s="95"/>
      <c r="G141" s="94"/>
      <c r="H141" s="94"/>
      <c r="I141" s="94"/>
      <c r="J141" s="96"/>
      <c r="K141" s="65"/>
      <c r="L141" s="65"/>
      <c r="M141" s="80"/>
    </row>
    <row r="142" spans="1:13" ht="12.75">
      <c r="A142" s="89"/>
      <c r="B142" s="89"/>
      <c r="C142" s="89"/>
      <c r="D142" s="63"/>
      <c r="E142" s="97"/>
      <c r="F142" s="95"/>
      <c r="G142" s="94"/>
      <c r="H142" s="94"/>
      <c r="I142" s="94"/>
      <c r="J142" s="96"/>
      <c r="K142" s="65"/>
      <c r="L142" s="65"/>
      <c r="M142" s="80"/>
    </row>
    <row r="143" spans="1:13" ht="12.75">
      <c r="A143" s="89"/>
      <c r="B143" s="89"/>
      <c r="C143" s="89"/>
      <c r="D143" s="63"/>
      <c r="E143" s="97"/>
      <c r="F143" s="95"/>
      <c r="G143" s="94"/>
      <c r="H143" s="94"/>
      <c r="I143" s="94"/>
      <c r="J143" s="96"/>
      <c r="K143" s="65"/>
      <c r="L143" s="65"/>
      <c r="M143" s="80"/>
    </row>
    <row r="144" spans="1:13" ht="12.75">
      <c r="A144" s="89"/>
      <c r="B144" s="89"/>
      <c r="C144" s="89"/>
      <c r="D144" s="63"/>
      <c r="E144" s="97"/>
      <c r="F144" s="95"/>
      <c r="G144" s="94"/>
      <c r="H144" s="94"/>
      <c r="I144" s="94"/>
      <c r="J144" s="96"/>
      <c r="K144" s="65"/>
      <c r="L144" s="65"/>
      <c r="M144" s="80"/>
    </row>
    <row r="145" spans="1:13" ht="12.75">
      <c r="A145" s="89"/>
      <c r="B145" s="89"/>
      <c r="C145" s="89"/>
      <c r="D145" s="63"/>
      <c r="E145" s="97"/>
      <c r="F145" s="95"/>
      <c r="G145" s="94"/>
      <c r="H145" s="94"/>
      <c r="I145" s="94"/>
      <c r="J145" s="96"/>
      <c r="K145" s="65"/>
      <c r="L145" s="65"/>
      <c r="M145" s="80"/>
    </row>
    <row r="146" spans="1:13" ht="12.75">
      <c r="A146" s="66"/>
      <c r="B146" s="66"/>
      <c r="C146" s="66"/>
      <c r="D146" s="63"/>
      <c r="E146" s="97"/>
      <c r="F146" s="95"/>
      <c r="G146" s="94"/>
      <c r="H146" s="94"/>
      <c r="I146" s="94"/>
      <c r="J146" s="96"/>
      <c r="K146" s="65"/>
      <c r="L146" s="65"/>
      <c r="M146" s="80"/>
    </row>
    <row r="147" spans="1:13" ht="12.75">
      <c r="A147" s="89"/>
      <c r="B147" s="89"/>
      <c r="C147" s="89"/>
      <c r="D147" s="63"/>
      <c r="E147" s="97"/>
      <c r="F147" s="95"/>
      <c r="G147" s="94"/>
      <c r="H147" s="94"/>
      <c r="I147" s="94"/>
      <c r="J147" s="96"/>
      <c r="K147" s="65"/>
      <c r="L147" s="65"/>
      <c r="M147" s="80"/>
    </row>
    <row r="148" spans="1:13" ht="12.75">
      <c r="A148" s="89"/>
      <c r="B148" s="89"/>
      <c r="C148" s="89"/>
      <c r="D148" s="63"/>
      <c r="E148" s="97"/>
      <c r="F148" s="95"/>
      <c r="G148" s="94"/>
      <c r="H148" s="94"/>
      <c r="I148" s="94"/>
      <c r="J148" s="96"/>
      <c r="K148" s="65"/>
      <c r="L148" s="65"/>
      <c r="M148" s="80"/>
    </row>
    <row r="149" spans="1:13" ht="12.75">
      <c r="A149" s="89"/>
      <c r="B149" s="89"/>
      <c r="C149" s="89"/>
      <c r="D149" s="63"/>
      <c r="E149" s="97"/>
      <c r="F149" s="95"/>
      <c r="G149" s="94"/>
      <c r="H149" s="94"/>
      <c r="I149" s="94"/>
      <c r="J149" s="96"/>
      <c r="K149" s="65"/>
      <c r="L149" s="65"/>
      <c r="M149" s="80"/>
    </row>
    <row r="150" spans="1:13" ht="12.75">
      <c r="A150" s="89"/>
      <c r="B150" s="89"/>
      <c r="C150" s="89"/>
      <c r="D150" s="63"/>
      <c r="E150" s="97"/>
      <c r="F150" s="95"/>
      <c r="G150" s="94"/>
      <c r="H150" s="94"/>
      <c r="I150" s="94"/>
      <c r="J150" s="96"/>
      <c r="K150" s="65"/>
      <c r="L150" s="65"/>
      <c r="M150" s="80"/>
    </row>
    <row r="151" spans="1:13" ht="12.75">
      <c r="A151" s="65"/>
      <c r="B151" s="65"/>
      <c r="C151" s="94"/>
      <c r="D151" s="65"/>
      <c r="E151" s="97"/>
      <c r="F151" s="95"/>
      <c r="G151" s="94"/>
      <c r="H151" s="94"/>
      <c r="I151" s="94"/>
      <c r="J151" s="96"/>
      <c r="K151" s="65"/>
      <c r="L151" s="65"/>
      <c r="M151" s="80"/>
    </row>
    <row r="152" spans="1:13" ht="12.75">
      <c r="A152" s="65"/>
      <c r="B152" s="65"/>
      <c r="C152" s="94"/>
      <c r="D152" s="65"/>
      <c r="E152" s="97"/>
      <c r="F152" s="95"/>
      <c r="G152" s="94"/>
      <c r="H152" s="94"/>
      <c r="I152" s="94"/>
      <c r="J152" s="96"/>
      <c r="K152" s="65"/>
      <c r="L152" s="65"/>
      <c r="M152" s="80"/>
    </row>
    <row r="153" spans="1:13" ht="12.75">
      <c r="A153" s="65"/>
      <c r="B153" s="65"/>
      <c r="C153" s="94"/>
      <c r="D153" s="65"/>
      <c r="E153" s="97"/>
      <c r="F153" s="95"/>
      <c r="G153" s="94"/>
      <c r="H153" s="94"/>
      <c r="I153" s="94"/>
      <c r="J153" s="96"/>
      <c r="K153" s="65"/>
      <c r="L153" s="65"/>
      <c r="M153" s="80"/>
    </row>
    <row r="154" spans="1:13" ht="12.75">
      <c r="A154" s="65"/>
      <c r="B154" s="65"/>
      <c r="C154" s="94"/>
      <c r="D154" s="65"/>
      <c r="E154" s="97"/>
      <c r="F154" s="95"/>
      <c r="G154" s="94"/>
      <c r="H154" s="94"/>
      <c r="I154" s="94"/>
      <c r="J154" s="96"/>
      <c r="K154" s="65"/>
      <c r="L154" s="65"/>
      <c r="M154" s="80"/>
    </row>
    <row r="155" spans="1:13" ht="12.75">
      <c r="A155" s="65"/>
      <c r="B155" s="65"/>
      <c r="C155" s="94"/>
      <c r="D155" s="65"/>
      <c r="E155" s="97"/>
      <c r="F155" s="95"/>
      <c r="G155" s="94"/>
      <c r="H155" s="94"/>
      <c r="I155" s="94"/>
      <c r="J155" s="96"/>
      <c r="K155" s="65"/>
      <c r="L155" s="65"/>
      <c r="M155" s="80"/>
    </row>
    <row r="156" spans="1:13" ht="12.75">
      <c r="A156" s="65"/>
      <c r="B156" s="65"/>
      <c r="C156" s="94"/>
      <c r="D156" s="65"/>
      <c r="E156" s="97"/>
      <c r="F156" s="95"/>
      <c r="G156" s="94"/>
      <c r="H156" s="94"/>
      <c r="I156" s="94"/>
      <c r="J156" s="96"/>
      <c r="K156" s="65"/>
      <c r="L156" s="65"/>
      <c r="M156" s="80"/>
    </row>
    <row r="157" spans="1:13" ht="12.75">
      <c r="A157" s="65"/>
      <c r="B157" s="65"/>
      <c r="C157" s="94"/>
      <c r="D157" s="65"/>
      <c r="E157" s="97"/>
      <c r="F157" s="95"/>
      <c r="G157" s="94"/>
      <c r="H157" s="94"/>
      <c r="I157" s="94"/>
      <c r="J157" s="96"/>
      <c r="K157" s="65"/>
      <c r="L157" s="65"/>
      <c r="M157" s="80"/>
    </row>
    <row r="158" spans="1:13" ht="12.75">
      <c r="A158" s="65"/>
      <c r="B158" s="65"/>
      <c r="C158" s="94"/>
      <c r="D158" s="65"/>
      <c r="E158" s="97"/>
      <c r="F158" s="95"/>
      <c r="G158" s="94"/>
      <c r="H158" s="94"/>
      <c r="I158" s="94"/>
      <c r="J158" s="96"/>
      <c r="K158" s="65"/>
      <c r="L158" s="65"/>
      <c r="M158" s="80"/>
    </row>
    <row r="159" spans="1:13" ht="12.75">
      <c r="A159" s="65"/>
      <c r="B159" s="65"/>
      <c r="C159" s="94"/>
      <c r="D159" s="65"/>
      <c r="E159" s="97"/>
      <c r="F159" s="95"/>
      <c r="G159" s="94"/>
      <c r="H159" s="94"/>
      <c r="I159" s="94"/>
      <c r="J159" s="96"/>
      <c r="K159" s="65"/>
      <c r="L159" s="65"/>
      <c r="M159" s="80"/>
    </row>
    <row r="160" spans="1:13" ht="12.75">
      <c r="A160" s="65"/>
      <c r="B160" s="65"/>
      <c r="C160" s="94"/>
      <c r="D160" s="65"/>
      <c r="E160" s="97"/>
      <c r="F160" s="95"/>
      <c r="G160" s="94"/>
      <c r="H160" s="94"/>
      <c r="I160" s="94"/>
      <c r="J160" s="96"/>
      <c r="K160" s="65"/>
      <c r="L160" s="65"/>
      <c r="M160" s="80"/>
    </row>
    <row r="161" spans="1:13" ht="12.75">
      <c r="A161" s="65"/>
      <c r="B161" s="65"/>
      <c r="C161" s="94"/>
      <c r="D161" s="65"/>
      <c r="E161" s="97"/>
      <c r="F161" s="95"/>
      <c r="G161" s="94"/>
      <c r="H161" s="94"/>
      <c r="I161" s="94"/>
      <c r="J161" s="96"/>
      <c r="K161" s="65"/>
      <c r="L161" s="65"/>
      <c r="M161" s="80"/>
    </row>
    <row r="162" spans="1:13" ht="12.75">
      <c r="A162" s="65"/>
      <c r="B162" s="65"/>
      <c r="C162" s="94"/>
      <c r="D162" s="65"/>
      <c r="E162" s="97"/>
      <c r="F162" s="95"/>
      <c r="G162" s="94"/>
      <c r="H162" s="94"/>
      <c r="I162" s="94"/>
      <c r="J162" s="96"/>
      <c r="K162" s="65"/>
      <c r="L162" s="65"/>
      <c r="M162" s="80"/>
    </row>
    <row r="163" spans="1:13" ht="12.75">
      <c r="A163" s="65"/>
      <c r="B163" s="65"/>
      <c r="C163" s="94"/>
      <c r="D163" s="65"/>
      <c r="E163" s="97"/>
      <c r="F163" s="95"/>
      <c r="G163" s="94"/>
      <c r="H163" s="94"/>
      <c r="I163" s="94"/>
      <c r="J163" s="96"/>
      <c r="K163" s="65"/>
      <c r="L163" s="65"/>
      <c r="M163" s="80"/>
    </row>
    <row r="164" spans="1:13" ht="12.75">
      <c r="A164" s="65"/>
      <c r="B164" s="65"/>
      <c r="C164" s="94"/>
      <c r="D164" s="65"/>
      <c r="E164" s="97"/>
      <c r="F164" s="95"/>
      <c r="G164" s="94"/>
      <c r="H164" s="94"/>
      <c r="I164" s="94"/>
      <c r="J164" s="96"/>
      <c r="K164" s="65"/>
      <c r="L164" s="65"/>
      <c r="M164" s="80"/>
    </row>
    <row r="165" spans="1:13" ht="12.75">
      <c r="A165" s="65"/>
      <c r="B165" s="65"/>
      <c r="C165" s="94"/>
      <c r="D165" s="65"/>
      <c r="E165" s="97"/>
      <c r="F165" s="95"/>
      <c r="G165" s="94"/>
      <c r="H165" s="94"/>
      <c r="I165" s="94"/>
      <c r="J165" s="96"/>
      <c r="K165" s="65"/>
      <c r="L165" s="65"/>
      <c r="M165" s="80"/>
    </row>
    <row r="166" spans="1:13" ht="12.75">
      <c r="A166" s="65"/>
      <c r="B166" s="65"/>
      <c r="C166" s="94"/>
      <c r="D166" s="65"/>
      <c r="E166" s="97"/>
      <c r="F166" s="95"/>
      <c r="G166" s="94"/>
      <c r="H166" s="94"/>
      <c r="I166" s="94"/>
      <c r="J166" s="96"/>
      <c r="K166" s="65"/>
      <c r="L166" s="65"/>
      <c r="M166" s="80"/>
    </row>
    <row r="167" spans="1:13" ht="12.75">
      <c r="A167" s="65"/>
      <c r="B167" s="65"/>
      <c r="C167" s="94"/>
      <c r="D167" s="65"/>
      <c r="E167" s="97"/>
      <c r="F167" s="95"/>
      <c r="G167" s="94"/>
      <c r="H167" s="94"/>
      <c r="I167" s="94"/>
      <c r="J167" s="96"/>
      <c r="K167" s="65"/>
      <c r="L167" s="65"/>
      <c r="M167" s="80"/>
    </row>
    <row r="168" spans="1:13" ht="12.75">
      <c r="A168" s="65"/>
      <c r="B168" s="65"/>
      <c r="C168" s="94"/>
      <c r="D168" s="65"/>
      <c r="E168" s="97"/>
      <c r="F168" s="95"/>
      <c r="G168" s="94"/>
      <c r="H168" s="94"/>
      <c r="I168" s="94"/>
      <c r="J168" s="96"/>
      <c r="K168" s="65"/>
      <c r="L168" s="65"/>
      <c r="M168" s="80"/>
    </row>
    <row r="169" spans="1:13" ht="12.75">
      <c r="A169" s="65"/>
      <c r="B169" s="65"/>
      <c r="C169" s="94"/>
      <c r="D169" s="65"/>
      <c r="E169" s="97"/>
      <c r="F169" s="95"/>
      <c r="G169" s="94"/>
      <c r="H169" s="94"/>
      <c r="I169" s="94"/>
      <c r="J169" s="96"/>
      <c r="K169" s="65"/>
      <c r="L169" s="65"/>
      <c r="M169" s="80"/>
    </row>
    <row r="170" spans="1:13" ht="12.75">
      <c r="A170" s="65"/>
      <c r="B170" s="65"/>
      <c r="C170" s="94"/>
      <c r="D170" s="65"/>
      <c r="E170" s="97"/>
      <c r="F170" s="95"/>
      <c r="G170" s="94"/>
      <c r="H170" s="94"/>
      <c r="I170" s="94"/>
      <c r="J170" s="96"/>
      <c r="K170" s="65"/>
      <c r="L170" s="65"/>
      <c r="M170" s="80"/>
    </row>
    <row r="171" spans="1:13" ht="12.75">
      <c r="A171" s="65"/>
      <c r="B171" s="65"/>
      <c r="C171" s="94"/>
      <c r="D171" s="65"/>
      <c r="E171" s="97"/>
      <c r="F171" s="95"/>
      <c r="G171" s="94"/>
      <c r="H171" s="94"/>
      <c r="I171" s="94"/>
      <c r="J171" s="96"/>
      <c r="K171" s="65"/>
      <c r="L171" s="65"/>
      <c r="M171" s="80"/>
    </row>
    <row r="172" spans="1:13" ht="12.75">
      <c r="A172" s="65"/>
      <c r="B172" s="65"/>
      <c r="C172" s="94"/>
      <c r="D172" s="65"/>
      <c r="E172" s="97"/>
      <c r="F172" s="95"/>
      <c r="G172" s="94"/>
      <c r="H172" s="94"/>
      <c r="I172" s="94"/>
      <c r="J172" s="96"/>
      <c r="K172" s="65"/>
      <c r="L172" s="65"/>
      <c r="M172" s="80"/>
    </row>
    <row r="173" spans="1:13" ht="12.75">
      <c r="A173" s="65"/>
      <c r="B173" s="65"/>
      <c r="C173" s="94"/>
      <c r="D173" s="65"/>
      <c r="E173" s="97"/>
      <c r="F173" s="95"/>
      <c r="G173" s="94"/>
      <c r="H173" s="94"/>
      <c r="I173" s="94"/>
      <c r="J173" s="96"/>
      <c r="K173" s="65"/>
      <c r="L173" s="65"/>
      <c r="M173" s="80"/>
    </row>
    <row r="174" spans="1:13" ht="12.75">
      <c r="A174" s="65"/>
      <c r="B174" s="65"/>
      <c r="C174" s="94"/>
      <c r="D174" s="65"/>
      <c r="E174" s="97"/>
      <c r="F174" s="95"/>
      <c r="G174" s="94"/>
      <c r="H174" s="94"/>
      <c r="I174" s="94"/>
      <c r="J174" s="96"/>
      <c r="K174" s="65"/>
      <c r="L174" s="65"/>
      <c r="M174" s="80"/>
    </row>
    <row r="175" spans="1:13" ht="12.75">
      <c r="A175" s="65"/>
      <c r="B175" s="65"/>
      <c r="C175" s="94"/>
      <c r="D175" s="65"/>
      <c r="E175" s="97"/>
      <c r="F175" s="95"/>
      <c r="G175" s="94"/>
      <c r="H175" s="94"/>
      <c r="I175" s="94"/>
      <c r="J175" s="96"/>
      <c r="K175" s="65"/>
      <c r="L175" s="65"/>
      <c r="M175" s="80"/>
    </row>
    <row r="176" spans="1:13" ht="12.75">
      <c r="A176" s="65"/>
      <c r="B176" s="65"/>
      <c r="C176" s="94"/>
      <c r="D176" s="65"/>
      <c r="E176" s="97"/>
      <c r="F176" s="95"/>
      <c r="G176" s="94"/>
      <c r="H176" s="94"/>
      <c r="I176" s="94"/>
      <c r="J176" s="96"/>
      <c r="K176" s="65"/>
      <c r="L176" s="65"/>
      <c r="M176" s="80"/>
    </row>
    <row r="177" spans="1:13" ht="12.75">
      <c r="A177" s="65"/>
      <c r="B177" s="65"/>
      <c r="C177" s="94"/>
      <c r="D177" s="65"/>
      <c r="E177" s="97"/>
      <c r="F177" s="95"/>
      <c r="G177" s="94"/>
      <c r="H177" s="94"/>
      <c r="I177" s="94"/>
      <c r="J177" s="96"/>
      <c r="K177" s="65"/>
      <c r="L177" s="65"/>
      <c r="M177" s="80"/>
    </row>
    <row r="178" spans="1:13" ht="12.75">
      <c r="A178" s="65"/>
      <c r="B178" s="65"/>
      <c r="C178" s="94"/>
      <c r="D178" s="65"/>
      <c r="E178" s="97"/>
      <c r="F178" s="95"/>
      <c r="G178" s="94"/>
      <c r="H178" s="94"/>
      <c r="I178" s="94"/>
      <c r="J178" s="96"/>
      <c r="K178" s="65"/>
      <c r="L178" s="65"/>
      <c r="M178" s="80"/>
    </row>
    <row r="179" spans="1:13" ht="12.75">
      <c r="A179" s="65"/>
      <c r="B179" s="65"/>
      <c r="C179" s="94"/>
      <c r="D179" s="65"/>
      <c r="E179" s="97"/>
      <c r="F179" s="95"/>
      <c r="G179" s="94"/>
      <c r="H179" s="94"/>
      <c r="I179" s="94"/>
      <c r="J179" s="96"/>
      <c r="K179" s="65"/>
      <c r="L179" s="65"/>
      <c r="M179" s="80"/>
    </row>
    <row r="180" spans="1:13" ht="12.75">
      <c r="A180" s="65"/>
      <c r="B180" s="65"/>
      <c r="C180" s="94"/>
      <c r="D180" s="65"/>
      <c r="E180" s="97"/>
      <c r="F180" s="95"/>
      <c r="G180" s="94"/>
      <c r="H180" s="94"/>
      <c r="I180" s="94"/>
      <c r="J180" s="96"/>
      <c r="K180" s="65"/>
      <c r="L180" s="65"/>
      <c r="M180" s="80"/>
    </row>
    <row r="181" spans="1:13" ht="12.75">
      <c r="A181" s="65"/>
      <c r="B181" s="65"/>
      <c r="C181" s="94"/>
      <c r="D181" s="65"/>
      <c r="E181" s="97"/>
      <c r="F181" s="95"/>
      <c r="G181" s="94"/>
      <c r="H181" s="94"/>
      <c r="I181" s="94"/>
      <c r="J181" s="96"/>
      <c r="K181" s="65"/>
      <c r="L181" s="65"/>
      <c r="M181" s="80"/>
    </row>
    <row r="182" spans="1:13" ht="12.75">
      <c r="A182" s="65"/>
      <c r="B182" s="65"/>
      <c r="C182" s="94"/>
      <c r="D182" s="65"/>
      <c r="E182" s="97"/>
      <c r="F182" s="95"/>
      <c r="G182" s="94"/>
      <c r="H182" s="94"/>
      <c r="I182" s="94"/>
      <c r="J182" s="96"/>
      <c r="K182" s="65"/>
      <c r="L182" s="65"/>
      <c r="M182" s="80"/>
    </row>
    <row r="183" spans="1:13" ht="12.75">
      <c r="A183" s="65"/>
      <c r="B183" s="65"/>
      <c r="C183" s="94"/>
      <c r="D183" s="65"/>
      <c r="E183" s="97"/>
      <c r="F183" s="95"/>
      <c r="G183" s="94"/>
      <c r="H183" s="94"/>
      <c r="I183" s="94"/>
      <c r="J183" s="96"/>
      <c r="K183" s="65"/>
      <c r="L183" s="65"/>
      <c r="M183" s="80"/>
    </row>
    <row r="184" spans="1:13" ht="12.75">
      <c r="A184" s="65"/>
      <c r="B184" s="65"/>
      <c r="C184" s="94"/>
      <c r="D184" s="65"/>
      <c r="E184" s="97"/>
      <c r="F184" s="95"/>
      <c r="G184" s="94"/>
      <c r="H184" s="94"/>
      <c r="I184" s="94"/>
      <c r="J184" s="96"/>
      <c r="K184" s="65"/>
      <c r="L184" s="65"/>
      <c r="M184" s="80"/>
    </row>
    <row r="185" spans="1:13" ht="12.75">
      <c r="A185" s="65"/>
      <c r="B185" s="65"/>
      <c r="C185" s="94"/>
      <c r="D185" s="65"/>
      <c r="E185" s="97"/>
      <c r="F185" s="95"/>
      <c r="G185" s="94"/>
      <c r="H185" s="94"/>
      <c r="I185" s="94"/>
      <c r="J185" s="96"/>
      <c r="K185" s="65"/>
      <c r="L185" s="65"/>
      <c r="M185" s="80"/>
    </row>
    <row r="186" spans="1:13" ht="12.75">
      <c r="A186" s="65"/>
      <c r="B186" s="65"/>
      <c r="C186" s="94"/>
      <c r="D186" s="65"/>
      <c r="E186" s="97"/>
      <c r="F186" s="95"/>
      <c r="G186" s="94"/>
      <c r="H186" s="94"/>
      <c r="I186" s="94"/>
      <c r="J186" s="96"/>
      <c r="K186" s="65"/>
      <c r="L186" s="65"/>
      <c r="M186" s="80"/>
    </row>
    <row r="187" spans="1:13" ht="12.75">
      <c r="A187" s="65"/>
      <c r="B187" s="65"/>
      <c r="C187" s="94"/>
      <c r="D187" s="65"/>
      <c r="E187" s="97"/>
      <c r="F187" s="95"/>
      <c r="G187" s="94"/>
      <c r="H187" s="94"/>
      <c r="I187" s="94"/>
      <c r="J187" s="96"/>
      <c r="K187" s="65"/>
      <c r="L187" s="65"/>
      <c r="M187" s="80"/>
    </row>
  </sheetData>
  <autoFilter ref="A2:M187">
    <sortState ref="A3:M72">
      <sortCondition ref="D2:D72"/>
    </sortState>
  </autoFilter>
  <mergeCells count="1">
    <mergeCell ref="B1:I1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7" r:id="rId4" name="CommandButton1">
          <controlPr autoLine="0" r:id="rId5">
            <anchor moveWithCells="1">
              <from>
                <xdr:col>0</xdr:col>
                <xdr:colOff>0</xdr:colOff>
                <xdr:row>0</xdr:row>
                <xdr:rowOff>38100</xdr:rowOff>
              </from>
              <to>
                <xdr:col>1</xdr:col>
                <xdr:colOff>152400</xdr:colOff>
                <xdr:row>0</xdr:row>
                <xdr:rowOff>342900</xdr:rowOff>
              </to>
            </anchor>
          </controlPr>
        </control>
      </mc:Choice>
      <mc:Fallback>
        <control shapeId="103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1"/>
  <sheetViews>
    <sheetView workbookViewId="0">
      <selection activeCell="C3" sqref="C3"/>
    </sheetView>
  </sheetViews>
  <sheetFormatPr defaultRowHeight="13.5"/>
  <cols>
    <col min="1" max="1" width="8.375" bestFit="1" customWidth="1"/>
    <col min="2" max="2" width="17.25" bestFit="1" customWidth="1"/>
    <col min="3" max="3" width="21.375" bestFit="1" customWidth="1"/>
    <col min="7" max="7" width="11" bestFit="1" customWidth="1"/>
  </cols>
  <sheetData>
    <row r="1" spans="1:7" ht="46.5">
      <c r="A1" s="16" t="s">
        <v>79</v>
      </c>
      <c r="B1" s="17" t="s">
        <v>80</v>
      </c>
      <c r="C1" s="18" t="s">
        <v>81</v>
      </c>
      <c r="D1" s="19" t="s">
        <v>82</v>
      </c>
      <c r="E1" s="30" t="s">
        <v>146</v>
      </c>
      <c r="F1" s="30" t="s">
        <v>147</v>
      </c>
      <c r="G1" s="30" t="s">
        <v>148</v>
      </c>
    </row>
    <row r="2" spans="1:7">
      <c r="A2" s="20" t="s">
        <v>83</v>
      </c>
      <c r="B2" s="21" t="s">
        <v>86</v>
      </c>
      <c r="C2" s="22" t="s">
        <v>87</v>
      </c>
      <c r="D2" s="23">
        <v>300</v>
      </c>
      <c r="E2" s="30">
        <v>91</v>
      </c>
      <c r="F2" s="30">
        <v>80</v>
      </c>
      <c r="G2" s="30">
        <f>D2-(E2+F2)</f>
        <v>129</v>
      </c>
    </row>
    <row r="3" spans="1:7">
      <c r="A3" s="20" t="s">
        <v>84</v>
      </c>
      <c r="B3" s="21" t="s">
        <v>88</v>
      </c>
      <c r="C3" s="22" t="s">
        <v>89</v>
      </c>
      <c r="D3" s="23">
        <v>300</v>
      </c>
      <c r="E3" s="30">
        <v>125</v>
      </c>
      <c r="F3" s="30">
        <v>40</v>
      </c>
      <c r="G3" s="30">
        <f>D3-(E3+F3)</f>
        <v>135</v>
      </c>
    </row>
    <row r="4" spans="1:7">
      <c r="A4" s="20" t="s">
        <v>85</v>
      </c>
      <c r="B4" s="21" t="s">
        <v>90</v>
      </c>
      <c r="C4" s="22" t="s">
        <v>91</v>
      </c>
      <c r="D4" s="23">
        <v>250</v>
      </c>
      <c r="E4" s="30">
        <v>190</v>
      </c>
      <c r="F4" s="30"/>
      <c r="G4" s="30">
        <f t="shared" ref="G4:G41" si="0">D4-(E4+F4)</f>
        <v>60</v>
      </c>
    </row>
    <row r="5" spans="1:7" hidden="1">
      <c r="A5" s="20" t="s">
        <v>92</v>
      </c>
      <c r="B5" s="21" t="s">
        <v>95</v>
      </c>
      <c r="C5" s="22" t="s">
        <v>96</v>
      </c>
      <c r="D5" s="23">
        <v>200</v>
      </c>
      <c r="E5" s="30">
        <v>220</v>
      </c>
      <c r="F5" s="30"/>
      <c r="G5" s="30">
        <f t="shared" si="0"/>
        <v>-20</v>
      </c>
    </row>
    <row r="6" spans="1:7">
      <c r="A6" s="20" t="s">
        <v>93</v>
      </c>
      <c r="B6" s="21" t="s">
        <v>97</v>
      </c>
      <c r="C6" s="22" t="s">
        <v>98</v>
      </c>
      <c r="D6" s="23">
        <v>400</v>
      </c>
      <c r="E6" s="30">
        <v>241</v>
      </c>
      <c r="F6" s="30">
        <v>50</v>
      </c>
      <c r="G6" s="30">
        <f t="shared" si="0"/>
        <v>109</v>
      </c>
    </row>
    <row r="7" spans="1:7" hidden="1">
      <c r="A7" s="20" t="s">
        <v>94</v>
      </c>
      <c r="B7" s="21" t="s">
        <v>99</v>
      </c>
      <c r="C7" s="22" t="s">
        <v>100</v>
      </c>
      <c r="D7" s="23">
        <v>30</v>
      </c>
      <c r="E7" s="30">
        <v>30</v>
      </c>
      <c r="F7" s="30"/>
      <c r="G7" s="30">
        <f t="shared" si="0"/>
        <v>0</v>
      </c>
    </row>
    <row r="8" spans="1:7">
      <c r="A8" s="20" t="s">
        <v>101</v>
      </c>
      <c r="B8" s="21" t="s">
        <v>104</v>
      </c>
      <c r="C8" s="22" t="s">
        <v>105</v>
      </c>
      <c r="D8" s="23">
        <v>400</v>
      </c>
      <c r="E8" s="30">
        <v>127</v>
      </c>
      <c r="F8" s="30">
        <v>50</v>
      </c>
      <c r="G8" s="30">
        <f t="shared" si="0"/>
        <v>223</v>
      </c>
    </row>
    <row r="9" spans="1:7">
      <c r="A9" s="20" t="s">
        <v>102</v>
      </c>
      <c r="B9" s="21" t="s">
        <v>106</v>
      </c>
      <c r="C9" s="22" t="s">
        <v>107</v>
      </c>
      <c r="D9" s="23">
        <v>600</v>
      </c>
      <c r="E9" s="30">
        <v>150</v>
      </c>
      <c r="F9" s="30">
        <v>150</v>
      </c>
      <c r="G9" s="30">
        <f t="shared" si="0"/>
        <v>300</v>
      </c>
    </row>
    <row r="10" spans="1:7">
      <c r="A10" s="20" t="s">
        <v>103</v>
      </c>
      <c r="B10" s="21" t="s">
        <v>108</v>
      </c>
      <c r="C10" s="22" t="s">
        <v>109</v>
      </c>
      <c r="D10" s="23">
        <v>350</v>
      </c>
      <c r="E10" s="30">
        <v>200</v>
      </c>
      <c r="F10" s="30">
        <v>100</v>
      </c>
      <c r="G10" s="30">
        <f t="shared" si="0"/>
        <v>50</v>
      </c>
    </row>
    <row r="11" spans="1:7">
      <c r="A11" s="20" t="s">
        <v>110</v>
      </c>
      <c r="B11" s="21" t="s">
        <v>114</v>
      </c>
      <c r="C11" s="22" t="s">
        <v>115</v>
      </c>
      <c r="D11" s="23">
        <v>100</v>
      </c>
      <c r="E11" s="30">
        <v>40</v>
      </c>
      <c r="F11" s="30"/>
      <c r="G11" s="30">
        <f t="shared" si="0"/>
        <v>60</v>
      </c>
    </row>
    <row r="12" spans="1:7">
      <c r="A12" s="24" t="s">
        <v>53</v>
      </c>
      <c r="B12" s="21" t="s">
        <v>38</v>
      </c>
      <c r="C12" s="25" t="s">
        <v>61</v>
      </c>
      <c r="D12" s="23">
        <v>10</v>
      </c>
      <c r="E12" s="30">
        <v>3</v>
      </c>
      <c r="F12" s="30">
        <v>4</v>
      </c>
      <c r="G12" s="30">
        <f t="shared" si="0"/>
        <v>3</v>
      </c>
    </row>
    <row r="13" spans="1:7">
      <c r="A13" s="24" t="s">
        <v>52</v>
      </c>
      <c r="B13" s="21" t="s">
        <v>38</v>
      </c>
      <c r="C13" s="26" t="s">
        <v>116</v>
      </c>
      <c r="D13" s="23">
        <v>16</v>
      </c>
      <c r="E13" s="30">
        <v>2</v>
      </c>
      <c r="F13" s="30">
        <v>8</v>
      </c>
      <c r="G13" s="30">
        <f t="shared" si="0"/>
        <v>6</v>
      </c>
    </row>
    <row r="14" spans="1:7">
      <c r="A14" s="24" t="s">
        <v>55</v>
      </c>
      <c r="B14" s="21" t="s">
        <v>38</v>
      </c>
      <c r="C14" s="27" t="s">
        <v>63</v>
      </c>
      <c r="D14" s="23">
        <v>7</v>
      </c>
      <c r="E14" s="30">
        <v>1</v>
      </c>
      <c r="F14" s="30">
        <v>3</v>
      </c>
      <c r="G14" s="30">
        <f t="shared" si="0"/>
        <v>3</v>
      </c>
    </row>
    <row r="15" spans="1:7">
      <c r="A15" s="24" t="s">
        <v>54</v>
      </c>
      <c r="B15" s="21" t="s">
        <v>38</v>
      </c>
      <c r="C15" s="25" t="s">
        <v>62</v>
      </c>
      <c r="D15" s="23">
        <v>8</v>
      </c>
      <c r="E15" s="30">
        <v>3</v>
      </c>
      <c r="F15" s="30">
        <v>4</v>
      </c>
      <c r="G15" s="30">
        <f t="shared" si="0"/>
        <v>1</v>
      </c>
    </row>
    <row r="16" spans="1:7">
      <c r="A16" s="24" t="s">
        <v>57</v>
      </c>
      <c r="B16" s="21" t="s">
        <v>38</v>
      </c>
      <c r="C16" s="25" t="s">
        <v>64</v>
      </c>
      <c r="D16" s="23">
        <v>8</v>
      </c>
      <c r="E16" s="30">
        <v>3</v>
      </c>
      <c r="F16" s="30">
        <v>3</v>
      </c>
      <c r="G16" s="30">
        <f t="shared" si="0"/>
        <v>2</v>
      </c>
    </row>
    <row r="17" spans="1:7" hidden="1">
      <c r="A17" s="24" t="s">
        <v>58</v>
      </c>
      <c r="B17" s="21" t="s">
        <v>38</v>
      </c>
      <c r="C17" s="25" t="s">
        <v>117</v>
      </c>
      <c r="D17" s="23">
        <v>8</v>
      </c>
      <c r="E17" s="30">
        <v>1</v>
      </c>
      <c r="F17" s="30">
        <v>8</v>
      </c>
      <c r="G17" s="30">
        <f t="shared" si="0"/>
        <v>-1</v>
      </c>
    </row>
    <row r="18" spans="1:7">
      <c r="A18" s="20" t="s">
        <v>37</v>
      </c>
      <c r="B18" s="21" t="s">
        <v>38</v>
      </c>
      <c r="C18" s="22" t="s">
        <v>39</v>
      </c>
      <c r="D18" s="23">
        <v>18</v>
      </c>
      <c r="E18" s="30">
        <v>6</v>
      </c>
      <c r="F18" s="30">
        <v>10</v>
      </c>
      <c r="G18" s="30">
        <f t="shared" si="0"/>
        <v>2</v>
      </c>
    </row>
    <row r="19" spans="1:7">
      <c r="A19" s="24" t="s">
        <v>56</v>
      </c>
      <c r="B19" s="21" t="s">
        <v>38</v>
      </c>
      <c r="C19" s="25" t="s">
        <v>118</v>
      </c>
      <c r="D19" s="23">
        <v>12</v>
      </c>
      <c r="E19" s="30">
        <v>5</v>
      </c>
      <c r="F19" s="30">
        <v>4</v>
      </c>
      <c r="G19" s="30">
        <f t="shared" si="0"/>
        <v>3</v>
      </c>
    </row>
    <row r="20" spans="1:7">
      <c r="A20" s="24" t="s">
        <v>59</v>
      </c>
      <c r="B20" s="21" t="s">
        <v>38</v>
      </c>
      <c r="C20" s="25" t="s">
        <v>119</v>
      </c>
      <c r="D20" s="23">
        <v>18</v>
      </c>
      <c r="E20" s="30">
        <v>11</v>
      </c>
      <c r="F20" s="30">
        <v>6</v>
      </c>
      <c r="G20" s="30">
        <f t="shared" si="0"/>
        <v>1</v>
      </c>
    </row>
    <row r="21" spans="1:7">
      <c r="A21" s="20" t="s">
        <v>111</v>
      </c>
      <c r="B21" s="21" t="s">
        <v>48</v>
      </c>
      <c r="C21" s="22" t="s">
        <v>120</v>
      </c>
      <c r="D21" s="23">
        <v>90</v>
      </c>
      <c r="E21" s="30">
        <v>20</v>
      </c>
      <c r="F21" s="30">
        <v>40</v>
      </c>
      <c r="G21" s="30">
        <f t="shared" si="0"/>
        <v>30</v>
      </c>
    </row>
    <row r="22" spans="1:7" hidden="1">
      <c r="A22" s="20" t="s">
        <v>49</v>
      </c>
      <c r="B22" s="21" t="s">
        <v>50</v>
      </c>
      <c r="C22" s="22" t="s">
        <v>51</v>
      </c>
      <c r="D22" s="23">
        <v>80</v>
      </c>
      <c r="E22" s="30">
        <v>0</v>
      </c>
      <c r="F22" s="30">
        <v>85</v>
      </c>
      <c r="G22" s="30">
        <f t="shared" si="0"/>
        <v>-5</v>
      </c>
    </row>
    <row r="23" spans="1:7">
      <c r="A23" s="20" t="s">
        <v>68</v>
      </c>
      <c r="B23" s="21" t="s">
        <v>69</v>
      </c>
      <c r="C23" s="22" t="s">
        <v>70</v>
      </c>
      <c r="D23" s="23">
        <v>90</v>
      </c>
      <c r="E23" s="30">
        <v>16</v>
      </c>
      <c r="F23" s="30">
        <v>4</v>
      </c>
      <c r="G23" s="30">
        <f t="shared" si="0"/>
        <v>70</v>
      </c>
    </row>
    <row r="24" spans="1:7">
      <c r="A24" s="20" t="s">
        <v>112</v>
      </c>
      <c r="B24" s="21" t="s">
        <v>121</v>
      </c>
      <c r="C24" s="22" t="s">
        <v>122</v>
      </c>
      <c r="D24" s="23">
        <v>65</v>
      </c>
      <c r="E24" s="30">
        <v>8</v>
      </c>
      <c r="F24" s="30">
        <v>37</v>
      </c>
      <c r="G24" s="30">
        <f t="shared" si="0"/>
        <v>20</v>
      </c>
    </row>
    <row r="25" spans="1:7">
      <c r="A25" s="20" t="s">
        <v>44</v>
      </c>
      <c r="B25" s="21" t="s">
        <v>45</v>
      </c>
      <c r="C25" s="22" t="s">
        <v>46</v>
      </c>
      <c r="D25" s="23">
        <v>80</v>
      </c>
      <c r="E25" s="30">
        <v>15</v>
      </c>
      <c r="F25" s="30">
        <v>36</v>
      </c>
      <c r="G25" s="30">
        <f t="shared" si="0"/>
        <v>29</v>
      </c>
    </row>
    <row r="26" spans="1:7">
      <c r="A26" s="24" t="s">
        <v>113</v>
      </c>
      <c r="B26" s="21" t="s">
        <v>123</v>
      </c>
      <c r="C26" s="28" t="s">
        <v>124</v>
      </c>
      <c r="D26" s="23">
        <v>9</v>
      </c>
      <c r="E26" s="30">
        <v>0</v>
      </c>
      <c r="F26" s="30">
        <v>3</v>
      </c>
      <c r="G26" s="30">
        <f t="shared" si="0"/>
        <v>6</v>
      </c>
    </row>
    <row r="27" spans="1:7" hidden="1">
      <c r="A27" s="20" t="s">
        <v>125</v>
      </c>
      <c r="B27" s="21" t="s">
        <v>47</v>
      </c>
      <c r="C27" s="22" t="s">
        <v>126</v>
      </c>
      <c r="D27" s="23">
        <v>100</v>
      </c>
      <c r="E27" s="30">
        <v>5</v>
      </c>
      <c r="F27" s="30">
        <v>120</v>
      </c>
      <c r="G27" s="30">
        <f t="shared" si="0"/>
        <v>-25</v>
      </c>
    </row>
    <row r="28" spans="1:7">
      <c r="A28" s="20" t="s">
        <v>76</v>
      </c>
      <c r="B28" s="21" t="s">
        <v>47</v>
      </c>
      <c r="C28" s="22" t="s">
        <v>77</v>
      </c>
      <c r="D28" s="23">
        <v>40</v>
      </c>
      <c r="E28" s="30">
        <v>0</v>
      </c>
      <c r="F28" s="30">
        <v>32</v>
      </c>
      <c r="G28" s="30">
        <f t="shared" si="0"/>
        <v>8</v>
      </c>
    </row>
    <row r="29" spans="1:7">
      <c r="A29" s="20" t="s">
        <v>71</v>
      </c>
      <c r="B29" s="21" t="s">
        <v>42</v>
      </c>
      <c r="C29" s="22" t="s">
        <v>72</v>
      </c>
      <c r="D29" s="23">
        <v>900</v>
      </c>
      <c r="E29" s="30">
        <v>370</v>
      </c>
      <c r="F29" s="30">
        <v>100</v>
      </c>
      <c r="G29" s="30">
        <f t="shared" si="0"/>
        <v>430</v>
      </c>
    </row>
    <row r="30" spans="1:7">
      <c r="A30" s="20" t="s">
        <v>78</v>
      </c>
      <c r="B30" s="21" t="s">
        <v>42</v>
      </c>
      <c r="C30" s="22" t="s">
        <v>127</v>
      </c>
      <c r="D30" s="23">
        <v>150</v>
      </c>
      <c r="E30" s="30">
        <v>0</v>
      </c>
      <c r="F30" s="30">
        <v>52</v>
      </c>
      <c r="G30" s="30">
        <f t="shared" si="0"/>
        <v>98</v>
      </c>
    </row>
    <row r="31" spans="1:7">
      <c r="A31" s="24" t="s">
        <v>60</v>
      </c>
      <c r="B31" s="21" t="s">
        <v>65</v>
      </c>
      <c r="C31" s="29" t="s">
        <v>128</v>
      </c>
      <c r="D31" s="23">
        <v>15</v>
      </c>
      <c r="E31" s="30">
        <v>8</v>
      </c>
      <c r="F31" s="30">
        <v>6</v>
      </c>
      <c r="G31" s="30">
        <f t="shared" si="0"/>
        <v>1</v>
      </c>
    </row>
    <row r="32" spans="1:7">
      <c r="A32" s="20" t="s">
        <v>66</v>
      </c>
      <c r="B32" s="21" t="s">
        <v>42</v>
      </c>
      <c r="C32" s="22" t="s">
        <v>67</v>
      </c>
      <c r="D32" s="23">
        <v>400</v>
      </c>
      <c r="E32" s="30">
        <v>130</v>
      </c>
      <c r="F32" s="30">
        <v>200</v>
      </c>
      <c r="G32" s="30">
        <f t="shared" si="0"/>
        <v>70</v>
      </c>
    </row>
    <row r="33" spans="1:7">
      <c r="A33" s="20" t="s">
        <v>40</v>
      </c>
      <c r="B33" s="21" t="s">
        <v>41</v>
      </c>
      <c r="C33" s="22" t="s">
        <v>129</v>
      </c>
      <c r="D33" s="23">
        <v>600</v>
      </c>
      <c r="E33" s="30">
        <v>270</v>
      </c>
      <c r="F33" s="30">
        <v>50</v>
      </c>
      <c r="G33" s="30">
        <f t="shared" si="0"/>
        <v>280</v>
      </c>
    </row>
    <row r="34" spans="1:7">
      <c r="A34" s="20" t="s">
        <v>130</v>
      </c>
      <c r="B34" s="21" t="s">
        <v>48</v>
      </c>
      <c r="C34" s="22" t="s">
        <v>131</v>
      </c>
      <c r="D34" s="23">
        <v>40</v>
      </c>
      <c r="E34" s="30">
        <v>10</v>
      </c>
      <c r="F34" s="30">
        <v>10</v>
      </c>
      <c r="G34" s="30">
        <f t="shared" si="0"/>
        <v>20</v>
      </c>
    </row>
    <row r="35" spans="1:7">
      <c r="A35" s="20" t="s">
        <v>132</v>
      </c>
      <c r="B35" s="21" t="s">
        <v>43</v>
      </c>
      <c r="C35" s="22" t="s">
        <v>133</v>
      </c>
      <c r="D35" s="23">
        <v>140</v>
      </c>
      <c r="E35" s="30">
        <v>19</v>
      </c>
      <c r="F35" s="30">
        <v>50</v>
      </c>
      <c r="G35" s="30">
        <f t="shared" si="0"/>
        <v>71</v>
      </c>
    </row>
    <row r="36" spans="1:7">
      <c r="A36" s="20" t="s">
        <v>134</v>
      </c>
      <c r="B36" s="21" t="s">
        <v>43</v>
      </c>
      <c r="C36" s="22" t="s">
        <v>135</v>
      </c>
      <c r="D36" s="23">
        <v>116</v>
      </c>
      <c r="E36" s="30">
        <v>73</v>
      </c>
      <c r="F36" s="30">
        <v>10</v>
      </c>
      <c r="G36" s="30">
        <f t="shared" si="0"/>
        <v>33</v>
      </c>
    </row>
    <row r="37" spans="1:7">
      <c r="A37" s="20" t="s">
        <v>136</v>
      </c>
      <c r="B37" s="21" t="s">
        <v>137</v>
      </c>
      <c r="C37" s="22" t="s">
        <v>138</v>
      </c>
      <c r="D37" s="23">
        <v>80</v>
      </c>
      <c r="E37" s="30">
        <v>4</v>
      </c>
      <c r="F37" s="30">
        <v>15</v>
      </c>
      <c r="G37" s="30">
        <f t="shared" si="0"/>
        <v>61</v>
      </c>
    </row>
    <row r="38" spans="1:7">
      <c r="A38" s="20" t="s">
        <v>139</v>
      </c>
      <c r="B38" s="21" t="s">
        <v>74</v>
      </c>
      <c r="C38" s="22" t="s">
        <v>140</v>
      </c>
      <c r="D38" s="23">
        <v>50</v>
      </c>
      <c r="E38" s="30">
        <v>4</v>
      </c>
      <c r="F38" s="30">
        <v>15</v>
      </c>
      <c r="G38" s="30">
        <f t="shared" si="0"/>
        <v>31</v>
      </c>
    </row>
    <row r="39" spans="1:7">
      <c r="A39" s="20" t="s">
        <v>73</v>
      </c>
      <c r="B39" s="21" t="s">
        <v>74</v>
      </c>
      <c r="C39" s="22" t="s">
        <v>75</v>
      </c>
      <c r="D39" s="23">
        <v>70</v>
      </c>
      <c r="E39" s="30">
        <v>0</v>
      </c>
      <c r="F39" s="30">
        <v>35</v>
      </c>
      <c r="G39" s="30">
        <f t="shared" si="0"/>
        <v>35</v>
      </c>
    </row>
    <row r="40" spans="1:7">
      <c r="A40" s="20" t="s">
        <v>141</v>
      </c>
      <c r="B40" s="21" t="s">
        <v>142</v>
      </c>
      <c r="C40" s="22" t="s">
        <v>143</v>
      </c>
      <c r="D40" s="23">
        <v>40</v>
      </c>
      <c r="E40" s="30">
        <v>0</v>
      </c>
      <c r="F40" s="30"/>
      <c r="G40" s="30">
        <f t="shared" si="0"/>
        <v>40</v>
      </c>
    </row>
    <row r="41" spans="1:7">
      <c r="A41" s="20" t="s">
        <v>144</v>
      </c>
      <c r="B41" s="21" t="s">
        <v>48</v>
      </c>
      <c r="C41" s="22" t="s">
        <v>145</v>
      </c>
      <c r="D41" s="23">
        <v>60</v>
      </c>
      <c r="E41" s="30">
        <v>2</v>
      </c>
      <c r="F41" s="30">
        <v>21</v>
      </c>
      <c r="G41" s="30">
        <f t="shared" si="0"/>
        <v>37</v>
      </c>
    </row>
  </sheetData>
  <autoFilter ref="A1:G41"/>
  <phoneticPr fontId="34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workbookViewId="0">
      <selection sqref="A1:I6"/>
    </sheetView>
  </sheetViews>
  <sheetFormatPr defaultRowHeight="13.5"/>
  <sheetData>
    <row r="1" spans="1:9">
      <c r="A1" t="s">
        <v>162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  <c r="G1" t="s">
        <v>168</v>
      </c>
      <c r="H1" t="s">
        <v>169</v>
      </c>
      <c r="I1" t="s">
        <v>170</v>
      </c>
    </row>
    <row r="2" spans="1:9">
      <c r="A2" t="s">
        <v>151</v>
      </c>
      <c r="B2" t="s">
        <v>150</v>
      </c>
      <c r="C2" t="s">
        <v>152</v>
      </c>
      <c r="D2" t="e">
        <v>#N/A</v>
      </c>
      <c r="E2">
        <v>6</v>
      </c>
      <c r="F2" t="s">
        <v>171</v>
      </c>
      <c r="G2" t="s">
        <v>161</v>
      </c>
    </row>
    <row r="3" spans="1:9">
      <c r="A3" t="s">
        <v>153</v>
      </c>
      <c r="B3" t="s">
        <v>42</v>
      </c>
      <c r="C3" t="s">
        <v>154</v>
      </c>
      <c r="D3" t="e">
        <v>#N/A</v>
      </c>
      <c r="E3">
        <v>40</v>
      </c>
      <c r="F3" t="s">
        <v>171</v>
      </c>
      <c r="G3" t="s">
        <v>161</v>
      </c>
    </row>
    <row r="4" spans="1:9">
      <c r="A4" t="s">
        <v>155</v>
      </c>
      <c r="B4" t="s">
        <v>42</v>
      </c>
      <c r="C4" t="s">
        <v>156</v>
      </c>
      <c r="D4" t="e">
        <v>#N/A</v>
      </c>
      <c r="E4">
        <v>20</v>
      </c>
      <c r="F4" t="s">
        <v>171</v>
      </c>
      <c r="G4" t="s">
        <v>161</v>
      </c>
    </row>
    <row r="5" spans="1:9">
      <c r="A5" t="s">
        <v>157</v>
      </c>
      <c r="B5" t="s">
        <v>42</v>
      </c>
      <c r="C5" t="s">
        <v>158</v>
      </c>
      <c r="D5" t="e">
        <v>#N/A</v>
      </c>
      <c r="E5">
        <v>3</v>
      </c>
      <c r="F5" t="s">
        <v>171</v>
      </c>
      <c r="G5" t="s">
        <v>161</v>
      </c>
    </row>
    <row r="6" spans="1:9">
      <c r="A6" t="s">
        <v>159</v>
      </c>
      <c r="B6" t="s">
        <v>123</v>
      </c>
      <c r="C6" t="s">
        <v>160</v>
      </c>
      <c r="D6" t="e">
        <v>#N/A</v>
      </c>
      <c r="E6">
        <v>4</v>
      </c>
      <c r="F6" t="s">
        <v>171</v>
      </c>
      <c r="G6" t="s">
        <v>161</v>
      </c>
    </row>
  </sheetData>
  <phoneticPr fontId="3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topLeftCell="A5" workbookViewId="0">
      <selection activeCell="I12" sqref="I12:I19"/>
    </sheetView>
  </sheetViews>
  <sheetFormatPr defaultRowHeight="13.5"/>
  <sheetData>
    <row r="1" spans="1:9" ht="43.5" thickBot="1">
      <c r="A1" s="40" t="s">
        <v>172</v>
      </c>
      <c r="B1" s="41" t="s">
        <v>173</v>
      </c>
      <c r="C1" s="42" t="s">
        <v>174</v>
      </c>
    </row>
    <row r="2" spans="1:9" ht="36.75" thickBot="1">
      <c r="A2" s="43" t="s">
        <v>175</v>
      </c>
      <c r="B2" s="44" t="s">
        <v>176</v>
      </c>
      <c r="C2" s="45" t="s">
        <v>177</v>
      </c>
    </row>
    <row r="3" spans="1:9" ht="29.25" thickBot="1">
      <c r="A3" s="46" t="s">
        <v>178</v>
      </c>
      <c r="B3" s="44" t="s">
        <v>179</v>
      </c>
      <c r="C3" s="47" t="s">
        <v>180</v>
      </c>
    </row>
    <row r="4" spans="1:9" ht="29.25" thickBot="1">
      <c r="A4" s="46" t="s">
        <v>181</v>
      </c>
      <c r="B4" s="44" t="s">
        <v>176</v>
      </c>
      <c r="C4" s="47" t="s">
        <v>182</v>
      </c>
    </row>
    <row r="5" spans="1:9" ht="29.25" thickBot="1">
      <c r="A5" s="46" t="s">
        <v>183</v>
      </c>
      <c r="B5" s="44" t="s">
        <v>179</v>
      </c>
      <c r="C5" s="47" t="s">
        <v>184</v>
      </c>
    </row>
    <row r="6" spans="1:9" ht="29.25" thickBot="1">
      <c r="A6" s="46" t="s">
        <v>185</v>
      </c>
      <c r="B6" s="44" t="s">
        <v>176</v>
      </c>
      <c r="C6" s="47" t="s">
        <v>186</v>
      </c>
    </row>
    <row r="7" spans="1:9" ht="29.25" thickBot="1">
      <c r="A7" s="46" t="s">
        <v>187</v>
      </c>
      <c r="B7" s="44" t="s">
        <v>188</v>
      </c>
      <c r="C7" s="47" t="s">
        <v>189</v>
      </c>
    </row>
    <row r="8" spans="1:9" ht="29.25" thickBot="1">
      <c r="A8" s="46" t="s">
        <v>190</v>
      </c>
      <c r="B8" s="44" t="s">
        <v>188</v>
      </c>
      <c r="C8" s="47" t="s">
        <v>191</v>
      </c>
    </row>
    <row r="9" spans="1:9" ht="29.25" thickBot="1">
      <c r="A9" s="46" t="s">
        <v>192</v>
      </c>
      <c r="B9" s="44" t="s">
        <v>176</v>
      </c>
      <c r="C9" s="47" t="s">
        <v>193</v>
      </c>
    </row>
    <row r="10" spans="1:9" ht="29.25" thickBot="1">
      <c r="A10" s="46" t="s">
        <v>194</v>
      </c>
      <c r="B10" s="44" t="s">
        <v>176</v>
      </c>
      <c r="C10" s="47" t="s">
        <v>195</v>
      </c>
    </row>
    <row r="11" spans="1:9" ht="29.25" thickBot="1">
      <c r="A11" s="46" t="s">
        <v>196</v>
      </c>
      <c r="B11" s="44" t="s">
        <v>176</v>
      </c>
      <c r="C11" s="47" t="s">
        <v>197</v>
      </c>
    </row>
    <row r="12" spans="1:9" ht="29.25" thickBot="1">
      <c r="A12" s="46" t="s">
        <v>198</v>
      </c>
      <c r="B12" s="44" t="s">
        <v>176</v>
      </c>
      <c r="C12" s="47" t="s">
        <v>199</v>
      </c>
      <c r="G12" s="51">
        <v>3</v>
      </c>
      <c r="H12" s="52">
        <v>1</v>
      </c>
      <c r="I12">
        <f>G12*H12</f>
        <v>3</v>
      </c>
    </row>
    <row r="13" spans="1:9" ht="29.25" thickBot="1">
      <c r="A13" s="46" t="s">
        <v>200</v>
      </c>
      <c r="B13" s="44" t="s">
        <v>201</v>
      </c>
      <c r="C13" s="47" t="s">
        <v>202</v>
      </c>
      <c r="G13" s="51">
        <v>6</v>
      </c>
      <c r="H13" s="52">
        <v>2</v>
      </c>
      <c r="I13">
        <f t="shared" ref="I13:I19" si="0">G13*H13</f>
        <v>12</v>
      </c>
    </row>
    <row r="14" spans="1:9" ht="29.25" thickBot="1">
      <c r="A14" s="46" t="s">
        <v>203</v>
      </c>
      <c r="B14" s="44" t="s">
        <v>201</v>
      </c>
      <c r="C14" s="47" t="s">
        <v>204</v>
      </c>
      <c r="G14" s="51">
        <v>3</v>
      </c>
      <c r="H14" s="52">
        <v>2</v>
      </c>
      <c r="I14">
        <f t="shared" si="0"/>
        <v>6</v>
      </c>
    </row>
    <row r="15" spans="1:9" ht="29.25" thickBot="1">
      <c r="A15" s="46" t="s">
        <v>205</v>
      </c>
      <c r="B15" s="44" t="s">
        <v>201</v>
      </c>
      <c r="C15" s="47" t="s">
        <v>206</v>
      </c>
      <c r="G15" s="51">
        <v>3</v>
      </c>
      <c r="H15" s="52">
        <v>2</v>
      </c>
      <c r="I15">
        <f t="shared" si="0"/>
        <v>6</v>
      </c>
    </row>
    <row r="16" spans="1:9" ht="29.25" thickBot="1">
      <c r="A16" s="46" t="s">
        <v>207</v>
      </c>
      <c r="B16" s="44" t="s">
        <v>201</v>
      </c>
      <c r="C16" s="47" t="s">
        <v>208</v>
      </c>
      <c r="G16" s="51">
        <v>3</v>
      </c>
      <c r="H16" s="52">
        <v>2</v>
      </c>
      <c r="I16">
        <f t="shared" si="0"/>
        <v>6</v>
      </c>
    </row>
    <row r="17" spans="1:9" ht="29.25" thickBot="1">
      <c r="A17" s="46" t="s">
        <v>209</v>
      </c>
      <c r="B17" s="44" t="s">
        <v>201</v>
      </c>
      <c r="C17" s="47" t="s">
        <v>210</v>
      </c>
      <c r="G17" s="51">
        <v>3</v>
      </c>
      <c r="H17" s="52">
        <v>2</v>
      </c>
      <c r="I17">
        <f t="shared" si="0"/>
        <v>6</v>
      </c>
    </row>
    <row r="18" spans="1:9" ht="57.75" thickBot="1">
      <c r="A18" s="48" t="s">
        <v>211</v>
      </c>
      <c r="B18" s="44" t="s">
        <v>201</v>
      </c>
      <c r="C18" s="49" t="s">
        <v>212</v>
      </c>
      <c r="G18" s="51">
        <v>2</v>
      </c>
      <c r="H18" s="52">
        <v>30</v>
      </c>
      <c r="I18">
        <f t="shared" si="0"/>
        <v>60</v>
      </c>
    </row>
    <row r="19" spans="1:9" ht="57.75" thickBot="1">
      <c r="A19" s="48" t="s">
        <v>213</v>
      </c>
      <c r="B19" s="44" t="s">
        <v>201</v>
      </c>
      <c r="C19" s="49" t="s">
        <v>214</v>
      </c>
      <c r="G19" s="51">
        <v>3</v>
      </c>
      <c r="H19" s="52">
        <v>2</v>
      </c>
      <c r="I19">
        <f t="shared" si="0"/>
        <v>6</v>
      </c>
    </row>
    <row r="20" spans="1:9" ht="57.75" thickBot="1">
      <c r="A20" s="48" t="s">
        <v>215</v>
      </c>
      <c r="B20" s="44" t="s">
        <v>201</v>
      </c>
      <c r="C20" s="49" t="s">
        <v>216</v>
      </c>
      <c r="G20" s="39"/>
      <c r="H20" s="36"/>
    </row>
    <row r="21" spans="1:9" ht="409.6" thickBot="1">
      <c r="A21" s="48" t="s">
        <v>217</v>
      </c>
      <c r="B21" s="44" t="s">
        <v>218</v>
      </c>
      <c r="C21" s="49" t="s">
        <v>219</v>
      </c>
    </row>
    <row r="22" spans="1:9" ht="409.6" thickBot="1">
      <c r="A22" s="48" t="s">
        <v>220</v>
      </c>
      <c r="B22" s="44" t="s">
        <v>218</v>
      </c>
      <c r="C22" s="49" t="s">
        <v>221</v>
      </c>
    </row>
    <row r="23" spans="1:9" ht="409.6" thickBot="1">
      <c r="A23" s="48" t="s">
        <v>222</v>
      </c>
      <c r="B23" s="44" t="s">
        <v>218</v>
      </c>
      <c r="C23" s="49" t="s">
        <v>223</v>
      </c>
    </row>
    <row r="24" spans="1:9" ht="409.6" thickBot="1">
      <c r="A24" s="48" t="s">
        <v>224</v>
      </c>
      <c r="B24" s="44" t="s">
        <v>218</v>
      </c>
      <c r="C24" s="49" t="s">
        <v>225</v>
      </c>
    </row>
    <row r="25" spans="1:9" ht="409.6" thickBot="1">
      <c r="A25" s="48" t="s">
        <v>226</v>
      </c>
      <c r="B25" s="44" t="s">
        <v>218</v>
      </c>
      <c r="C25" s="49" t="s">
        <v>227</v>
      </c>
    </row>
    <row r="26" spans="1:9" ht="409.6" thickBot="1">
      <c r="A26" s="48" t="s">
        <v>228</v>
      </c>
      <c r="B26" s="44" t="s">
        <v>218</v>
      </c>
      <c r="C26" s="49" t="s">
        <v>229</v>
      </c>
    </row>
    <row r="27" spans="1:9" ht="409.6" thickBot="1">
      <c r="A27" s="48" t="s">
        <v>230</v>
      </c>
      <c r="B27" s="44" t="s">
        <v>218</v>
      </c>
      <c r="C27" s="49" t="s">
        <v>231</v>
      </c>
    </row>
  </sheetData>
  <phoneticPr fontId="3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9"/>
  <sheetViews>
    <sheetView workbookViewId="0">
      <selection activeCell="D2" sqref="D2:D29"/>
    </sheetView>
  </sheetViews>
  <sheetFormatPr defaultRowHeight="13.5"/>
  <sheetData>
    <row r="1" spans="1:4" ht="16.5">
      <c r="A1" s="15" t="s">
        <v>25</v>
      </c>
      <c r="B1" s="38" t="s">
        <v>26</v>
      </c>
      <c r="C1" s="50" t="s">
        <v>34</v>
      </c>
    </row>
    <row r="2" spans="1:4" ht="27.75" thickBot="1">
      <c r="A2" s="53" t="s">
        <v>232</v>
      </c>
      <c r="B2" s="54" t="s">
        <v>233</v>
      </c>
      <c r="C2" s="54" t="s">
        <v>234</v>
      </c>
      <c r="D2">
        <v>2</v>
      </c>
    </row>
    <row r="3" spans="1:4" ht="27.75" thickBot="1">
      <c r="A3" s="53" t="s">
        <v>235</v>
      </c>
      <c r="B3" s="54" t="s">
        <v>236</v>
      </c>
      <c r="C3" s="54" t="s">
        <v>237</v>
      </c>
      <c r="D3">
        <v>4</v>
      </c>
    </row>
    <row r="4" spans="1:4" ht="54.75" thickBot="1">
      <c r="A4" s="53" t="s">
        <v>238</v>
      </c>
      <c r="B4" s="54" t="s">
        <v>42</v>
      </c>
      <c r="C4" s="54" t="s">
        <v>239</v>
      </c>
      <c r="D4">
        <v>60</v>
      </c>
    </row>
    <row r="5" spans="1:4" ht="14.25" thickBot="1">
      <c r="A5" s="55" t="s">
        <v>240</v>
      </c>
      <c r="B5" s="56" t="s">
        <v>241</v>
      </c>
      <c r="C5" s="56">
        <v>10007315</v>
      </c>
      <c r="D5">
        <v>20</v>
      </c>
    </row>
    <row r="6" spans="1:4" ht="14.25" thickBot="1">
      <c r="A6" s="55" t="s">
        <v>242</v>
      </c>
      <c r="B6" s="56" t="s">
        <v>241</v>
      </c>
      <c r="C6" s="56">
        <v>10036722</v>
      </c>
      <c r="D6">
        <v>20</v>
      </c>
    </row>
    <row r="7" spans="1:4" ht="14.25" thickBot="1">
      <c r="A7" s="55" t="s">
        <v>243</v>
      </c>
      <c r="B7" s="56" t="s">
        <v>241</v>
      </c>
      <c r="C7" s="56">
        <v>10105073</v>
      </c>
      <c r="D7">
        <v>20</v>
      </c>
    </row>
    <row r="8" spans="1:4" ht="14.25" thickBot="1">
      <c r="A8" s="55" t="s">
        <v>244</v>
      </c>
      <c r="B8" s="56" t="s">
        <v>241</v>
      </c>
      <c r="C8" s="56">
        <v>10105078</v>
      </c>
      <c r="D8">
        <v>20</v>
      </c>
    </row>
    <row r="9" spans="1:4" ht="27.75" thickBot="1">
      <c r="A9" s="55" t="s">
        <v>245</v>
      </c>
      <c r="B9" s="56" t="s">
        <v>246</v>
      </c>
      <c r="C9" s="56" t="s">
        <v>247</v>
      </c>
      <c r="D9">
        <v>20</v>
      </c>
    </row>
    <row r="10" spans="1:4" ht="14.25" thickBot="1">
      <c r="A10" s="55" t="s">
        <v>248</v>
      </c>
      <c r="B10" s="56" t="s">
        <v>241</v>
      </c>
      <c r="C10" s="56" t="s">
        <v>249</v>
      </c>
      <c r="D10">
        <v>20</v>
      </c>
    </row>
    <row r="11" spans="1:4" ht="27.75" thickBot="1">
      <c r="A11" s="55" t="s">
        <v>250</v>
      </c>
      <c r="B11" s="56" t="s">
        <v>241</v>
      </c>
      <c r="C11" s="56" t="s">
        <v>251</v>
      </c>
      <c r="D11">
        <v>10</v>
      </c>
    </row>
    <row r="12" spans="1:4" ht="27.75" thickBot="1">
      <c r="A12" s="57" t="s">
        <v>252</v>
      </c>
      <c r="B12" s="58" t="s">
        <v>246</v>
      </c>
      <c r="C12" s="58" t="s">
        <v>253</v>
      </c>
      <c r="D12">
        <v>50</v>
      </c>
    </row>
    <row r="13" spans="1:4" ht="41.25" thickBot="1">
      <c r="A13" s="59" t="s">
        <v>254</v>
      </c>
      <c r="B13" s="60" t="s">
        <v>42</v>
      </c>
      <c r="C13" s="60" t="s">
        <v>255</v>
      </c>
      <c r="D13">
        <v>20</v>
      </c>
    </row>
    <row r="14" spans="1:4" ht="27.75" thickBot="1">
      <c r="A14" s="55" t="s">
        <v>256</v>
      </c>
      <c r="B14" s="56" t="s">
        <v>43</v>
      </c>
      <c r="C14" s="56" t="s">
        <v>257</v>
      </c>
      <c r="D14">
        <v>4</v>
      </c>
    </row>
    <row r="15" spans="1:4" ht="27.75" thickBot="1">
      <c r="A15" s="55" t="s">
        <v>258</v>
      </c>
      <c r="B15" s="56" t="s">
        <v>43</v>
      </c>
      <c r="C15" s="56" t="s">
        <v>259</v>
      </c>
      <c r="D15">
        <v>6</v>
      </c>
    </row>
    <row r="16" spans="1:4" ht="27.75" thickBot="1">
      <c r="A16" s="55" t="s">
        <v>260</v>
      </c>
      <c r="B16" s="56" t="s">
        <v>246</v>
      </c>
      <c r="C16" s="56" t="s">
        <v>261</v>
      </c>
      <c r="D16">
        <v>20</v>
      </c>
    </row>
    <row r="17" spans="1:4" ht="27.75" thickBot="1">
      <c r="A17" s="55" t="s">
        <v>262</v>
      </c>
      <c r="B17" s="56" t="s">
        <v>263</v>
      </c>
      <c r="C17" s="56" t="s">
        <v>264</v>
      </c>
      <c r="D17">
        <v>6</v>
      </c>
    </row>
    <row r="18" spans="1:4" ht="41.25" thickBot="1">
      <c r="A18" s="55" t="s">
        <v>265</v>
      </c>
      <c r="B18" s="56" t="s">
        <v>266</v>
      </c>
      <c r="C18" s="56" t="s">
        <v>267</v>
      </c>
      <c r="D18">
        <v>6</v>
      </c>
    </row>
    <row r="19" spans="1:4" ht="14.25" thickBot="1">
      <c r="A19" s="55" t="s">
        <v>268</v>
      </c>
      <c r="B19" s="56" t="s">
        <v>269</v>
      </c>
      <c r="C19" s="56" t="s">
        <v>270</v>
      </c>
      <c r="D19">
        <v>6</v>
      </c>
    </row>
    <row r="20" spans="1:4" ht="27.75" thickBot="1">
      <c r="A20" s="55" t="s">
        <v>271</v>
      </c>
      <c r="B20" s="56" t="s">
        <v>272</v>
      </c>
      <c r="C20" s="56" t="s">
        <v>273</v>
      </c>
      <c r="D20">
        <v>6</v>
      </c>
    </row>
    <row r="21" spans="1:4" ht="54.75" thickBot="1">
      <c r="A21" s="59" t="s">
        <v>274</v>
      </c>
      <c r="B21" s="60" t="s">
        <v>275</v>
      </c>
      <c r="C21" s="60" t="s">
        <v>276</v>
      </c>
      <c r="D21">
        <v>2</v>
      </c>
    </row>
    <row r="22" spans="1:4" ht="41.25" thickBot="1">
      <c r="A22" s="59" t="s">
        <v>277</v>
      </c>
      <c r="B22" s="60" t="s">
        <v>42</v>
      </c>
      <c r="C22" s="60" t="s">
        <v>154</v>
      </c>
      <c r="D22">
        <v>20</v>
      </c>
    </row>
    <row r="23" spans="1:4" ht="41.25" thickBot="1">
      <c r="A23" s="59" t="s">
        <v>278</v>
      </c>
      <c r="B23" s="60" t="s">
        <v>42</v>
      </c>
      <c r="C23" s="60" t="s">
        <v>279</v>
      </c>
      <c r="D23">
        <v>20</v>
      </c>
    </row>
    <row r="24" spans="1:4" ht="41.25" thickBot="1">
      <c r="A24" s="59" t="s">
        <v>280</v>
      </c>
      <c r="B24" s="60" t="s">
        <v>42</v>
      </c>
      <c r="C24" s="60" t="s">
        <v>281</v>
      </c>
      <c r="D24">
        <v>20</v>
      </c>
    </row>
    <row r="25" spans="1:4" ht="14.25" thickBot="1">
      <c r="A25" s="55" t="s">
        <v>282</v>
      </c>
      <c r="B25" s="56" t="s">
        <v>246</v>
      </c>
      <c r="C25" s="56" t="s">
        <v>283</v>
      </c>
      <c r="D25">
        <v>20</v>
      </c>
    </row>
    <row r="26" spans="1:4" ht="27.75" thickBot="1">
      <c r="A26" s="53" t="s">
        <v>284</v>
      </c>
      <c r="B26" s="54" t="s">
        <v>42</v>
      </c>
      <c r="C26" s="54" t="s">
        <v>285</v>
      </c>
      <c r="D26">
        <v>20</v>
      </c>
    </row>
    <row r="27" spans="1:4" ht="14.25" thickBot="1">
      <c r="A27" s="55" t="s">
        <v>286</v>
      </c>
      <c r="B27" s="56" t="s">
        <v>241</v>
      </c>
      <c r="C27" s="56" t="s">
        <v>287</v>
      </c>
      <c r="D27">
        <v>20</v>
      </c>
    </row>
    <row r="28" spans="1:4" ht="45.75" thickBot="1">
      <c r="A28" s="61" t="s">
        <v>288</v>
      </c>
      <c r="B28" s="62" t="s">
        <v>289</v>
      </c>
      <c r="C28" s="62" t="s">
        <v>290</v>
      </c>
      <c r="D28">
        <v>4</v>
      </c>
    </row>
    <row r="29" spans="1:4" ht="45.75" thickBot="1">
      <c r="A29" s="61" t="s">
        <v>291</v>
      </c>
      <c r="B29" s="62" t="s">
        <v>289</v>
      </c>
      <c r="C29" s="62" t="s">
        <v>292</v>
      </c>
      <c r="D29">
        <v>4</v>
      </c>
    </row>
  </sheetData>
  <phoneticPr fontId="4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84"/>
  <sheetViews>
    <sheetView workbookViewId="0">
      <selection sqref="A1:K184"/>
    </sheetView>
  </sheetViews>
  <sheetFormatPr defaultRowHeight="13.5"/>
  <sheetData>
    <row r="1" spans="1:14" s="31" customFormat="1">
      <c r="A1" s="77" t="s">
        <v>304</v>
      </c>
      <c r="B1" s="72" t="s">
        <v>305</v>
      </c>
      <c r="C1" s="72" t="s">
        <v>306</v>
      </c>
      <c r="D1" s="77" t="s">
        <v>293</v>
      </c>
      <c r="E1" s="79">
        <v>2</v>
      </c>
      <c r="F1" s="35" t="s">
        <v>149</v>
      </c>
      <c r="G1" s="81" t="s">
        <v>161</v>
      </c>
      <c r="H1" s="81"/>
      <c r="I1" s="81"/>
      <c r="J1" s="81" t="s">
        <v>570</v>
      </c>
      <c r="K1" s="37"/>
      <c r="L1" s="37"/>
      <c r="M1" s="37"/>
      <c r="N1" s="83"/>
    </row>
    <row r="2" spans="1:14" s="31" customFormat="1">
      <c r="A2" s="78" t="s">
        <v>307</v>
      </c>
      <c r="B2" s="73" t="s">
        <v>305</v>
      </c>
      <c r="C2" s="73" t="s">
        <v>308</v>
      </c>
      <c r="D2" s="78" t="s">
        <v>293</v>
      </c>
      <c r="E2" s="79">
        <v>20</v>
      </c>
      <c r="F2" s="35" t="s">
        <v>149</v>
      </c>
      <c r="G2" s="81" t="s">
        <v>161</v>
      </c>
      <c r="H2" s="81"/>
      <c r="I2" s="81"/>
      <c r="J2" s="81" t="s">
        <v>571</v>
      </c>
      <c r="K2" s="37"/>
      <c r="L2" s="37"/>
      <c r="M2" s="37"/>
      <c r="N2" s="83"/>
    </row>
    <row r="3" spans="1:14" s="31" customFormat="1">
      <c r="A3" s="77" t="s">
        <v>309</v>
      </c>
      <c r="B3" s="72" t="s">
        <v>305</v>
      </c>
      <c r="C3" s="72" t="s">
        <v>42</v>
      </c>
      <c r="D3" s="77" t="s">
        <v>293</v>
      </c>
      <c r="E3" s="79">
        <v>40</v>
      </c>
      <c r="F3" s="35" t="s">
        <v>149</v>
      </c>
      <c r="G3" s="81" t="s">
        <v>161</v>
      </c>
      <c r="H3" s="81"/>
      <c r="I3" s="81"/>
      <c r="J3" s="81" t="s">
        <v>572</v>
      </c>
      <c r="K3" s="37"/>
      <c r="L3" s="37"/>
      <c r="M3" s="37"/>
    </row>
    <row r="4" spans="1:14" s="31" customFormat="1">
      <c r="A4" s="77" t="s">
        <v>310</v>
      </c>
      <c r="B4" s="72" t="s">
        <v>311</v>
      </c>
      <c r="C4" s="72" t="s">
        <v>303</v>
      </c>
      <c r="D4" s="77" t="s">
        <v>546</v>
      </c>
      <c r="E4" s="79">
        <v>5</v>
      </c>
      <c r="F4" s="35" t="s">
        <v>149</v>
      </c>
      <c r="G4" s="81" t="s">
        <v>161</v>
      </c>
      <c r="H4" s="81"/>
      <c r="I4" s="81"/>
      <c r="J4" s="81" t="s">
        <v>573</v>
      </c>
      <c r="K4" s="37"/>
      <c r="L4" s="37"/>
      <c r="M4" s="37"/>
    </row>
    <row r="5" spans="1:14" s="31" customFormat="1">
      <c r="A5" s="77" t="s">
        <v>312</v>
      </c>
      <c r="B5" s="72" t="s">
        <v>311</v>
      </c>
      <c r="C5" s="72" t="s">
        <v>303</v>
      </c>
      <c r="D5" s="77" t="s">
        <v>546</v>
      </c>
      <c r="E5" s="79">
        <v>14</v>
      </c>
      <c r="F5" s="35" t="s">
        <v>149</v>
      </c>
      <c r="G5" s="81" t="s">
        <v>161</v>
      </c>
      <c r="H5" s="81"/>
      <c r="I5" s="81"/>
      <c r="J5" s="81" t="s">
        <v>574</v>
      </c>
      <c r="K5" s="37"/>
      <c r="L5" s="37"/>
      <c r="M5" s="37"/>
    </row>
    <row r="6" spans="1:14" s="31" customFormat="1">
      <c r="A6" s="78" t="s">
        <v>313</v>
      </c>
      <c r="B6" s="73" t="s">
        <v>311</v>
      </c>
      <c r="C6" s="73" t="s">
        <v>303</v>
      </c>
      <c r="D6" s="78" t="s">
        <v>546</v>
      </c>
      <c r="E6" s="79">
        <v>18</v>
      </c>
      <c r="F6" s="35" t="s">
        <v>149</v>
      </c>
      <c r="G6" s="81" t="s">
        <v>161</v>
      </c>
      <c r="H6" s="81"/>
      <c r="I6" s="81"/>
      <c r="J6" s="81" t="s">
        <v>571</v>
      </c>
      <c r="K6" s="37"/>
      <c r="L6" s="37"/>
      <c r="M6" s="37"/>
    </row>
    <row r="7" spans="1:14" s="31" customFormat="1">
      <c r="A7" s="77" t="s">
        <v>313</v>
      </c>
      <c r="B7" s="75" t="s">
        <v>311</v>
      </c>
      <c r="C7" s="75" t="s">
        <v>303</v>
      </c>
      <c r="D7" s="78" t="s">
        <v>546</v>
      </c>
      <c r="E7" s="79">
        <v>20</v>
      </c>
      <c r="F7" s="35" t="s">
        <v>149</v>
      </c>
      <c r="G7" s="81" t="s">
        <v>161</v>
      </c>
      <c r="H7" s="81"/>
      <c r="I7" s="81"/>
      <c r="J7" s="81" t="s">
        <v>575</v>
      </c>
      <c r="K7" s="37"/>
      <c r="L7" s="37"/>
      <c r="M7" s="37"/>
    </row>
    <row r="8" spans="1:14" s="31" customFormat="1">
      <c r="A8" s="77" t="s">
        <v>310</v>
      </c>
      <c r="B8" s="75" t="s">
        <v>311</v>
      </c>
      <c r="C8" s="75" t="s">
        <v>303</v>
      </c>
      <c r="D8" s="78" t="s">
        <v>546</v>
      </c>
      <c r="E8" s="79">
        <v>2</v>
      </c>
      <c r="F8" s="35" t="s">
        <v>149</v>
      </c>
      <c r="G8" s="81" t="s">
        <v>161</v>
      </c>
      <c r="H8" s="81"/>
      <c r="I8" s="81"/>
      <c r="J8" s="81" t="s">
        <v>576</v>
      </c>
      <c r="K8" s="37"/>
      <c r="L8" s="37"/>
      <c r="M8" s="37"/>
    </row>
    <row r="9" spans="1:14" s="31" customFormat="1">
      <c r="A9" s="77" t="s">
        <v>310</v>
      </c>
      <c r="B9" s="75" t="s">
        <v>311</v>
      </c>
      <c r="C9" s="75" t="s">
        <v>303</v>
      </c>
      <c r="D9" s="78" t="s">
        <v>546</v>
      </c>
      <c r="E9" s="79">
        <v>2</v>
      </c>
      <c r="F9" s="35" t="s">
        <v>149</v>
      </c>
      <c r="G9" s="81" t="s">
        <v>161</v>
      </c>
      <c r="H9" s="81"/>
      <c r="I9" s="81"/>
      <c r="J9" s="81" t="s">
        <v>577</v>
      </c>
      <c r="K9" s="37"/>
      <c r="L9" s="37"/>
      <c r="M9" s="37"/>
    </row>
    <row r="10" spans="1:14" s="31" customFormat="1">
      <c r="A10" s="77" t="s">
        <v>125</v>
      </c>
      <c r="B10" s="75" t="s">
        <v>311</v>
      </c>
      <c r="C10" s="75" t="s">
        <v>47</v>
      </c>
      <c r="D10" s="78" t="s">
        <v>546</v>
      </c>
      <c r="E10" s="79">
        <v>2</v>
      </c>
      <c r="F10" s="35" t="s">
        <v>149</v>
      </c>
      <c r="G10" s="81" t="s">
        <v>161</v>
      </c>
      <c r="H10" s="81"/>
      <c r="I10" s="81"/>
      <c r="J10" s="81" t="s">
        <v>578</v>
      </c>
      <c r="K10" s="37"/>
      <c r="L10" s="37"/>
      <c r="M10" s="37"/>
    </row>
    <row r="11" spans="1:14" s="31" customFormat="1">
      <c r="A11" s="77" t="s">
        <v>314</v>
      </c>
      <c r="B11" s="75" t="s">
        <v>315</v>
      </c>
      <c r="C11" s="75" t="s">
        <v>294</v>
      </c>
      <c r="D11" s="78" t="s">
        <v>299</v>
      </c>
      <c r="E11" s="79">
        <v>35</v>
      </c>
      <c r="F11" s="35" t="s">
        <v>149</v>
      </c>
      <c r="G11" s="81" t="s">
        <v>161</v>
      </c>
      <c r="H11" s="81"/>
      <c r="I11" s="81"/>
      <c r="J11" s="81" t="s">
        <v>571</v>
      </c>
      <c r="K11" s="37"/>
      <c r="L11" s="37"/>
      <c r="M11" s="37"/>
    </row>
    <row r="12" spans="1:14" s="31" customFormat="1">
      <c r="A12" s="77" t="s">
        <v>316</v>
      </c>
      <c r="B12" s="75" t="s">
        <v>315</v>
      </c>
      <c r="C12" s="75" t="s">
        <v>294</v>
      </c>
      <c r="D12" s="78" t="s">
        <v>299</v>
      </c>
      <c r="E12" s="79">
        <v>6</v>
      </c>
      <c r="F12" s="35" t="s">
        <v>149</v>
      </c>
      <c r="G12" s="81" t="s">
        <v>161</v>
      </c>
      <c r="H12" s="81"/>
      <c r="I12" s="81"/>
      <c r="J12" s="81" t="s">
        <v>579</v>
      </c>
      <c r="K12" s="37"/>
      <c r="L12" s="37"/>
      <c r="M12" s="37"/>
    </row>
    <row r="13" spans="1:14" s="31" customFormat="1">
      <c r="A13" s="77" t="s">
        <v>317</v>
      </c>
      <c r="B13" s="75" t="s">
        <v>318</v>
      </c>
      <c r="C13" s="75" t="s">
        <v>319</v>
      </c>
      <c r="D13" s="78" t="s">
        <v>547</v>
      </c>
      <c r="E13" s="79">
        <v>5</v>
      </c>
      <c r="F13" s="35" t="s">
        <v>149</v>
      </c>
      <c r="G13" s="81" t="s">
        <v>161</v>
      </c>
      <c r="H13" s="81"/>
      <c r="I13" s="81"/>
      <c r="J13" s="81" t="s">
        <v>579</v>
      </c>
      <c r="K13" s="37"/>
      <c r="L13" s="37"/>
      <c r="M13" s="37"/>
    </row>
    <row r="14" spans="1:14" s="31" customFormat="1">
      <c r="A14" s="77" t="s">
        <v>320</v>
      </c>
      <c r="B14" s="76" t="s">
        <v>321</v>
      </c>
      <c r="C14" s="76" t="s">
        <v>322</v>
      </c>
      <c r="D14" s="78" t="s">
        <v>548</v>
      </c>
      <c r="E14" s="79">
        <v>2</v>
      </c>
      <c r="F14" s="35" t="s">
        <v>149</v>
      </c>
      <c r="G14" s="81" t="s">
        <v>161</v>
      </c>
      <c r="H14" s="81"/>
      <c r="I14" s="81"/>
      <c r="J14" s="81" t="s">
        <v>580</v>
      </c>
      <c r="K14" s="37"/>
      <c r="L14" s="37"/>
      <c r="M14" s="37"/>
    </row>
    <row r="15" spans="1:14" s="31" customFormat="1">
      <c r="A15" s="77" t="s">
        <v>323</v>
      </c>
      <c r="B15" s="76" t="s">
        <v>302</v>
      </c>
      <c r="C15" s="76" t="s">
        <v>297</v>
      </c>
      <c r="D15" s="78" t="s">
        <v>300</v>
      </c>
      <c r="E15" s="79">
        <v>12</v>
      </c>
      <c r="F15" s="35" t="s">
        <v>149</v>
      </c>
      <c r="G15" s="81" t="s">
        <v>161</v>
      </c>
      <c r="H15" s="81"/>
      <c r="I15" s="81"/>
      <c r="J15" s="81" t="s">
        <v>581</v>
      </c>
      <c r="K15" s="37"/>
      <c r="L15" s="37"/>
      <c r="M15" s="37"/>
    </row>
    <row r="16" spans="1:14" s="31" customFormat="1">
      <c r="A16" s="77" t="s">
        <v>324</v>
      </c>
      <c r="B16" s="75" t="s">
        <v>302</v>
      </c>
      <c r="C16" s="75" t="s">
        <v>297</v>
      </c>
      <c r="D16" s="78" t="s">
        <v>300</v>
      </c>
      <c r="E16" s="79">
        <v>6</v>
      </c>
      <c r="F16" s="35" t="s">
        <v>149</v>
      </c>
      <c r="G16" s="81" t="s">
        <v>161</v>
      </c>
      <c r="H16" s="81"/>
      <c r="I16" s="81"/>
      <c r="J16" s="81" t="s">
        <v>582</v>
      </c>
      <c r="K16" s="37"/>
      <c r="L16" s="37"/>
      <c r="M16" s="37"/>
    </row>
    <row r="17" spans="1:13" s="31" customFormat="1">
      <c r="A17" s="65" t="s">
        <v>325</v>
      </c>
      <c r="B17" s="37" t="s">
        <v>302</v>
      </c>
      <c r="C17" s="74" t="s">
        <v>326</v>
      </c>
      <c r="D17" s="63" t="s">
        <v>300</v>
      </c>
      <c r="E17" s="79">
        <v>5</v>
      </c>
      <c r="F17" s="35" t="s">
        <v>149</v>
      </c>
      <c r="G17" s="81" t="s">
        <v>161</v>
      </c>
      <c r="H17" s="81"/>
      <c r="I17" s="81"/>
      <c r="J17" s="81" t="s">
        <v>577</v>
      </c>
      <c r="K17" s="37"/>
      <c r="L17" s="37"/>
      <c r="M17" s="37"/>
    </row>
    <row r="18" spans="1:13" s="31" customFormat="1">
      <c r="A18" s="65" t="s">
        <v>327</v>
      </c>
      <c r="B18" s="37" t="s">
        <v>302</v>
      </c>
      <c r="C18" s="74" t="s">
        <v>328</v>
      </c>
      <c r="D18" s="63" t="s">
        <v>300</v>
      </c>
      <c r="E18" s="79">
        <v>1</v>
      </c>
      <c r="F18" s="35" t="s">
        <v>149</v>
      </c>
      <c r="G18" s="81" t="s">
        <v>161</v>
      </c>
      <c r="H18" s="81"/>
      <c r="I18" s="81"/>
      <c r="J18" s="81" t="s">
        <v>572</v>
      </c>
      <c r="K18" s="37"/>
      <c r="L18" s="37"/>
      <c r="M18" s="37"/>
    </row>
    <row r="19" spans="1:13" s="31" customFormat="1">
      <c r="A19" s="65" t="s">
        <v>329</v>
      </c>
      <c r="B19" s="37" t="s">
        <v>330</v>
      </c>
      <c r="C19" s="74" t="s">
        <v>331</v>
      </c>
      <c r="D19" s="63" t="s">
        <v>549</v>
      </c>
      <c r="E19" s="79">
        <v>1</v>
      </c>
      <c r="F19" s="35" t="s">
        <v>149</v>
      </c>
      <c r="G19" s="81" t="s">
        <v>161</v>
      </c>
      <c r="H19" s="81"/>
      <c r="I19" s="81"/>
      <c r="J19" s="81" t="s">
        <v>583</v>
      </c>
      <c r="K19" s="37"/>
      <c r="L19" s="37"/>
      <c r="M19" s="37"/>
    </row>
    <row r="20" spans="1:13" s="31" customFormat="1" ht="38.25">
      <c r="A20" s="66" t="s">
        <v>332</v>
      </c>
      <c r="B20" s="66" t="s">
        <v>330</v>
      </c>
      <c r="C20" s="66" t="s">
        <v>333</v>
      </c>
      <c r="D20" s="63" t="s">
        <v>549</v>
      </c>
      <c r="E20" s="79">
        <v>1</v>
      </c>
      <c r="F20" s="35" t="s">
        <v>149</v>
      </c>
      <c r="G20" s="81" t="s">
        <v>161</v>
      </c>
      <c r="H20" s="81"/>
      <c r="I20" s="81"/>
      <c r="J20" s="81" t="s">
        <v>583</v>
      </c>
      <c r="K20" s="37"/>
      <c r="L20" s="37"/>
      <c r="M20" s="37"/>
    </row>
    <row r="21" spans="1:13" s="31" customFormat="1" ht="54">
      <c r="A21" s="67" t="s">
        <v>334</v>
      </c>
      <c r="B21" s="68" t="s">
        <v>330</v>
      </c>
      <c r="C21" s="68" t="s">
        <v>335</v>
      </c>
      <c r="D21" s="63" t="s">
        <v>549</v>
      </c>
      <c r="E21" s="79">
        <v>2</v>
      </c>
      <c r="F21" s="35" t="s">
        <v>149</v>
      </c>
      <c r="G21" s="81" t="s">
        <v>161</v>
      </c>
      <c r="H21" s="81"/>
      <c r="I21" s="81"/>
      <c r="J21" s="81" t="s">
        <v>583</v>
      </c>
      <c r="K21" s="37"/>
      <c r="L21" s="37"/>
      <c r="M21" s="37"/>
    </row>
    <row r="22" spans="1:13" s="31" customFormat="1" ht="54">
      <c r="A22" s="67" t="s">
        <v>336</v>
      </c>
      <c r="B22" s="68" t="s">
        <v>330</v>
      </c>
      <c r="C22" s="68" t="s">
        <v>337</v>
      </c>
      <c r="D22" s="63" t="s">
        <v>549</v>
      </c>
      <c r="E22" s="79">
        <v>1</v>
      </c>
      <c r="F22" s="35" t="s">
        <v>149</v>
      </c>
      <c r="G22" s="81" t="s">
        <v>161</v>
      </c>
      <c r="H22" s="81"/>
      <c r="I22" s="81"/>
      <c r="J22" s="81" t="s">
        <v>583</v>
      </c>
      <c r="K22" s="37"/>
      <c r="L22" s="37"/>
      <c r="M22" s="37"/>
    </row>
    <row r="23" spans="1:13" s="31" customFormat="1" ht="38.25">
      <c r="A23" s="66" t="s">
        <v>338</v>
      </c>
      <c r="B23" s="66" t="s">
        <v>330</v>
      </c>
      <c r="C23" s="66" t="s">
        <v>337</v>
      </c>
      <c r="D23" s="63" t="s">
        <v>549</v>
      </c>
      <c r="E23" s="79">
        <v>2</v>
      </c>
      <c r="F23" s="35" t="s">
        <v>149</v>
      </c>
      <c r="G23" s="81" t="s">
        <v>161</v>
      </c>
      <c r="H23" s="81"/>
      <c r="I23" s="81"/>
      <c r="J23" s="81" t="s">
        <v>583</v>
      </c>
      <c r="K23" s="37"/>
      <c r="L23" s="37"/>
      <c r="M23" s="37"/>
    </row>
    <row r="24" spans="1:13" s="31" customFormat="1" ht="38.25">
      <c r="A24" s="66" t="s">
        <v>339</v>
      </c>
      <c r="B24" s="66" t="s">
        <v>340</v>
      </c>
      <c r="C24" s="66" t="s">
        <v>38</v>
      </c>
      <c r="D24" s="63" t="s">
        <v>550</v>
      </c>
      <c r="E24" s="79">
        <v>2</v>
      </c>
      <c r="F24" s="35" t="s">
        <v>149</v>
      </c>
      <c r="G24" s="81" t="s">
        <v>161</v>
      </c>
      <c r="H24" s="81"/>
      <c r="I24" s="81"/>
      <c r="J24" s="81" t="s">
        <v>584</v>
      </c>
      <c r="K24" s="37"/>
      <c r="L24" s="37"/>
      <c r="M24" s="37"/>
    </row>
    <row r="25" spans="1:13" s="31" customFormat="1" ht="38.25">
      <c r="A25" s="66" t="s">
        <v>341</v>
      </c>
      <c r="B25" s="66" t="s">
        <v>340</v>
      </c>
      <c r="C25" s="66" t="s">
        <v>38</v>
      </c>
      <c r="D25" s="63" t="s">
        <v>550</v>
      </c>
      <c r="E25" s="79">
        <v>2</v>
      </c>
      <c r="F25" s="35" t="s">
        <v>149</v>
      </c>
      <c r="G25" s="81" t="s">
        <v>161</v>
      </c>
      <c r="H25" s="81"/>
      <c r="I25" s="81"/>
      <c r="J25" s="81" t="s">
        <v>584</v>
      </c>
      <c r="K25" s="37"/>
      <c r="L25" s="37"/>
      <c r="M25" s="37"/>
    </row>
    <row r="26" spans="1:13" s="31" customFormat="1" ht="25.5">
      <c r="A26" s="66" t="s">
        <v>342</v>
      </c>
      <c r="B26" s="66" t="s">
        <v>305</v>
      </c>
      <c r="C26" s="66" t="s">
        <v>47</v>
      </c>
      <c r="D26" s="63" t="s">
        <v>293</v>
      </c>
      <c r="E26" s="79">
        <v>1</v>
      </c>
      <c r="F26" s="35" t="s">
        <v>149</v>
      </c>
      <c r="G26" s="81" t="s">
        <v>161</v>
      </c>
      <c r="H26" s="81"/>
      <c r="I26" s="81"/>
      <c r="J26" s="81" t="s">
        <v>570</v>
      </c>
      <c r="K26" s="37"/>
      <c r="L26" s="37"/>
      <c r="M26" s="37"/>
    </row>
    <row r="27" spans="1:13" s="31" customFormat="1" ht="25.5">
      <c r="A27" s="66" t="s">
        <v>343</v>
      </c>
      <c r="B27" s="66" t="s">
        <v>305</v>
      </c>
      <c r="C27" s="66" t="s">
        <v>306</v>
      </c>
      <c r="D27" s="63" t="s">
        <v>293</v>
      </c>
      <c r="E27" s="79">
        <v>2</v>
      </c>
      <c r="F27" s="35" t="s">
        <v>149</v>
      </c>
      <c r="G27" s="81" t="s">
        <v>161</v>
      </c>
      <c r="H27" s="81"/>
      <c r="I27" s="81"/>
      <c r="J27" s="81" t="s">
        <v>576</v>
      </c>
      <c r="K27" s="37"/>
      <c r="L27" s="37"/>
      <c r="M27" s="37"/>
    </row>
    <row r="28" spans="1:13" s="31" customFormat="1" ht="40.5">
      <c r="A28" s="67" t="s">
        <v>344</v>
      </c>
      <c r="B28" s="68" t="s">
        <v>305</v>
      </c>
      <c r="C28" s="68" t="s">
        <v>43</v>
      </c>
      <c r="D28" s="63" t="s">
        <v>293</v>
      </c>
      <c r="E28" s="79">
        <v>1</v>
      </c>
      <c r="F28" s="35" t="s">
        <v>149</v>
      </c>
      <c r="G28" s="81" t="s">
        <v>161</v>
      </c>
      <c r="H28" s="81"/>
      <c r="I28" s="81"/>
      <c r="J28" s="81" t="s">
        <v>579</v>
      </c>
      <c r="K28" s="37"/>
      <c r="L28" s="37"/>
      <c r="M28" s="37"/>
    </row>
    <row r="29" spans="1:13" s="31" customFormat="1" ht="40.5">
      <c r="A29" s="67" t="s">
        <v>345</v>
      </c>
      <c r="B29" s="68" t="s">
        <v>305</v>
      </c>
      <c r="C29" s="68" t="s">
        <v>50</v>
      </c>
      <c r="D29" s="63" t="s">
        <v>293</v>
      </c>
      <c r="E29" s="79">
        <v>1</v>
      </c>
      <c r="F29" s="35" t="s">
        <v>149</v>
      </c>
      <c r="G29" s="81" t="s">
        <v>161</v>
      </c>
      <c r="H29" s="81"/>
      <c r="I29" s="81"/>
      <c r="J29" s="81" t="s">
        <v>579</v>
      </c>
      <c r="K29" s="37"/>
      <c r="L29" s="37"/>
      <c r="M29" s="37"/>
    </row>
    <row r="30" spans="1:13" s="31" customFormat="1" ht="25.5">
      <c r="A30" s="66" t="s">
        <v>346</v>
      </c>
      <c r="B30" s="66" t="s">
        <v>305</v>
      </c>
      <c r="C30" s="66" t="s">
        <v>43</v>
      </c>
      <c r="D30" s="63" t="s">
        <v>293</v>
      </c>
      <c r="E30" s="79">
        <v>1</v>
      </c>
      <c r="F30" s="35" t="s">
        <v>149</v>
      </c>
      <c r="G30" s="81" t="s">
        <v>161</v>
      </c>
      <c r="H30" s="81"/>
      <c r="I30" s="81"/>
      <c r="J30" s="81" t="s">
        <v>579</v>
      </c>
      <c r="K30" s="37"/>
      <c r="L30" s="37"/>
      <c r="M30" s="37"/>
    </row>
    <row r="31" spans="1:13" s="31" customFormat="1" ht="25.5">
      <c r="A31" s="66" t="s">
        <v>347</v>
      </c>
      <c r="B31" s="66" t="s">
        <v>305</v>
      </c>
      <c r="C31" s="66" t="s">
        <v>348</v>
      </c>
      <c r="D31" s="63" t="s">
        <v>293</v>
      </c>
      <c r="E31" s="79">
        <v>1</v>
      </c>
      <c r="F31" s="35" t="s">
        <v>149</v>
      </c>
      <c r="G31" s="81" t="s">
        <v>161</v>
      </c>
      <c r="H31" s="81"/>
      <c r="I31" s="81"/>
      <c r="J31" s="81" t="s">
        <v>578</v>
      </c>
      <c r="K31" s="37"/>
      <c r="L31" s="37"/>
      <c r="M31" s="37"/>
    </row>
    <row r="32" spans="1:13" s="31" customFormat="1" ht="25.5">
      <c r="A32" s="69" t="s">
        <v>349</v>
      </c>
      <c r="B32" s="66" t="s">
        <v>305</v>
      </c>
      <c r="C32" s="66" t="s">
        <v>50</v>
      </c>
      <c r="D32" s="63" t="s">
        <v>293</v>
      </c>
      <c r="E32" s="79">
        <v>1</v>
      </c>
      <c r="F32" s="35" t="s">
        <v>149</v>
      </c>
      <c r="G32" s="81" t="s">
        <v>161</v>
      </c>
      <c r="H32" s="81"/>
      <c r="I32" s="81"/>
      <c r="J32" s="81" t="s">
        <v>579</v>
      </c>
      <c r="K32" s="37"/>
      <c r="L32" s="37"/>
      <c r="M32" s="37"/>
    </row>
    <row r="33" spans="1:13" s="31" customFormat="1" ht="40.5">
      <c r="A33" s="67" t="s">
        <v>350</v>
      </c>
      <c r="B33" s="68" t="s">
        <v>305</v>
      </c>
      <c r="C33" s="68" t="s">
        <v>43</v>
      </c>
      <c r="D33" s="63" t="s">
        <v>293</v>
      </c>
      <c r="E33" s="79">
        <v>1</v>
      </c>
      <c r="F33" s="35" t="s">
        <v>149</v>
      </c>
      <c r="G33" s="81" t="s">
        <v>161</v>
      </c>
      <c r="H33" s="81"/>
      <c r="I33" s="81"/>
      <c r="J33" s="81" t="s">
        <v>579</v>
      </c>
      <c r="K33" s="37"/>
      <c r="L33" s="37"/>
      <c r="M33" s="37"/>
    </row>
    <row r="34" spans="1:13" s="31" customFormat="1" ht="40.5">
      <c r="A34" s="67" t="s">
        <v>351</v>
      </c>
      <c r="B34" s="68" t="s">
        <v>305</v>
      </c>
      <c r="C34" s="68" t="s">
        <v>48</v>
      </c>
      <c r="D34" s="63" t="s">
        <v>293</v>
      </c>
      <c r="E34" s="79">
        <v>1</v>
      </c>
      <c r="F34" s="35" t="s">
        <v>149</v>
      </c>
      <c r="G34" s="81" t="s">
        <v>161</v>
      </c>
      <c r="H34" s="81"/>
      <c r="I34" s="81"/>
      <c r="J34" s="81" t="s">
        <v>579</v>
      </c>
      <c r="K34" s="37"/>
      <c r="L34" s="37"/>
      <c r="M34" s="37"/>
    </row>
    <row r="35" spans="1:13" s="31" customFormat="1" ht="25.5">
      <c r="A35" s="66" t="s">
        <v>352</v>
      </c>
      <c r="B35" s="66" t="s">
        <v>305</v>
      </c>
      <c r="C35" s="66" t="s">
        <v>123</v>
      </c>
      <c r="D35" s="63" t="s">
        <v>293</v>
      </c>
      <c r="E35" s="79">
        <v>1</v>
      </c>
      <c r="F35" s="35" t="s">
        <v>149</v>
      </c>
      <c r="G35" s="81" t="s">
        <v>161</v>
      </c>
      <c r="H35" s="81"/>
      <c r="I35" s="81"/>
      <c r="J35" s="81" t="s">
        <v>585</v>
      </c>
      <c r="K35" s="37"/>
      <c r="L35" s="37"/>
      <c r="M35" s="37"/>
    </row>
    <row r="36" spans="1:13" s="31" customFormat="1" ht="25.5">
      <c r="A36" s="66" t="s">
        <v>353</v>
      </c>
      <c r="B36" s="66" t="s">
        <v>305</v>
      </c>
      <c r="C36" s="66" t="s">
        <v>50</v>
      </c>
      <c r="D36" s="63" t="s">
        <v>293</v>
      </c>
      <c r="E36" s="79">
        <v>1</v>
      </c>
      <c r="F36" s="35" t="s">
        <v>149</v>
      </c>
      <c r="G36" s="81" t="s">
        <v>161</v>
      </c>
      <c r="H36" s="81"/>
      <c r="I36" s="81"/>
      <c r="J36" s="81" t="s">
        <v>579</v>
      </c>
      <c r="K36" s="37"/>
      <c r="L36" s="37"/>
      <c r="M36" s="37"/>
    </row>
    <row r="37" spans="1:13" s="31" customFormat="1" ht="25.5">
      <c r="A37" s="66" t="s">
        <v>354</v>
      </c>
      <c r="B37" s="66" t="s">
        <v>305</v>
      </c>
      <c r="C37" s="66" t="s">
        <v>48</v>
      </c>
      <c r="D37" s="63" t="s">
        <v>293</v>
      </c>
      <c r="E37" s="79">
        <v>2</v>
      </c>
      <c r="F37" s="35" t="s">
        <v>149</v>
      </c>
      <c r="G37" s="81" t="s">
        <v>161</v>
      </c>
      <c r="H37" s="81"/>
      <c r="I37" s="81"/>
      <c r="J37" s="81" t="s">
        <v>579</v>
      </c>
      <c r="K37" s="37"/>
      <c r="L37" s="37"/>
      <c r="M37" s="37"/>
    </row>
    <row r="38" spans="1:13" s="31" customFormat="1" ht="25.5">
      <c r="A38" s="66" t="s">
        <v>355</v>
      </c>
      <c r="B38" s="66" t="s">
        <v>305</v>
      </c>
      <c r="C38" s="66" t="s">
        <v>48</v>
      </c>
      <c r="D38" s="63" t="s">
        <v>293</v>
      </c>
      <c r="E38" s="79">
        <v>2</v>
      </c>
      <c r="F38" s="35" t="s">
        <v>149</v>
      </c>
      <c r="G38" s="81" t="s">
        <v>161</v>
      </c>
      <c r="H38" s="81"/>
      <c r="I38" s="81"/>
      <c r="J38" s="81" t="s">
        <v>579</v>
      </c>
      <c r="K38" s="37"/>
      <c r="L38" s="37"/>
      <c r="M38" s="37"/>
    </row>
    <row r="39" spans="1:13" s="31" customFormat="1" ht="25.5">
      <c r="A39" s="69" t="s">
        <v>356</v>
      </c>
      <c r="B39" s="66" t="s">
        <v>305</v>
      </c>
      <c r="C39" s="66" t="s">
        <v>357</v>
      </c>
      <c r="D39" s="63" t="s">
        <v>293</v>
      </c>
      <c r="E39" s="79">
        <v>10</v>
      </c>
      <c r="F39" s="35" t="s">
        <v>149</v>
      </c>
      <c r="G39" s="81" t="s">
        <v>161</v>
      </c>
      <c r="H39" s="81"/>
      <c r="I39" s="81"/>
      <c r="J39" s="81" t="s">
        <v>586</v>
      </c>
      <c r="K39" s="37"/>
      <c r="L39" s="37"/>
      <c r="M39" s="37"/>
    </row>
    <row r="40" spans="1:13" s="31" customFormat="1" ht="25.5">
      <c r="A40" s="69" t="s">
        <v>358</v>
      </c>
      <c r="B40" s="66" t="s">
        <v>305</v>
      </c>
      <c r="C40" s="66" t="s">
        <v>357</v>
      </c>
      <c r="D40" s="63" t="s">
        <v>293</v>
      </c>
      <c r="E40" s="79">
        <v>10</v>
      </c>
      <c r="F40" s="35" t="s">
        <v>149</v>
      </c>
      <c r="G40" s="81" t="s">
        <v>161</v>
      </c>
      <c r="H40" s="81"/>
      <c r="I40" s="81"/>
      <c r="J40" s="81" t="s">
        <v>586</v>
      </c>
      <c r="K40" s="37"/>
      <c r="L40" s="37"/>
      <c r="M40" s="37"/>
    </row>
    <row r="41" spans="1:13" s="31" customFormat="1" ht="25.5">
      <c r="A41" s="66" t="s">
        <v>359</v>
      </c>
      <c r="B41" s="66" t="s">
        <v>305</v>
      </c>
      <c r="C41" s="66" t="s">
        <v>50</v>
      </c>
      <c r="D41" s="63" t="s">
        <v>293</v>
      </c>
      <c r="E41" s="79">
        <v>1</v>
      </c>
      <c r="F41" s="35" t="s">
        <v>149</v>
      </c>
      <c r="G41" s="81" t="s">
        <v>161</v>
      </c>
      <c r="H41" s="81"/>
      <c r="I41" s="81"/>
      <c r="J41" s="81" t="s">
        <v>579</v>
      </c>
      <c r="K41" s="37"/>
      <c r="L41" s="37"/>
      <c r="M41" s="37"/>
    </row>
    <row r="42" spans="1:13" s="31" customFormat="1" ht="25.5">
      <c r="A42" s="66" t="s">
        <v>360</v>
      </c>
      <c r="B42" s="66" t="s">
        <v>305</v>
      </c>
      <c r="C42" s="66" t="s">
        <v>42</v>
      </c>
      <c r="D42" s="63" t="s">
        <v>293</v>
      </c>
      <c r="E42" s="79">
        <v>3</v>
      </c>
      <c r="F42" s="35" t="s">
        <v>149</v>
      </c>
      <c r="G42" s="81" t="s">
        <v>161</v>
      </c>
      <c r="H42" s="81"/>
      <c r="I42" s="81"/>
      <c r="J42" s="81" t="s">
        <v>579</v>
      </c>
      <c r="K42" s="37"/>
      <c r="L42" s="37"/>
      <c r="M42" s="37"/>
    </row>
    <row r="43" spans="1:13" s="31" customFormat="1" ht="25.5">
      <c r="A43" s="66" t="s">
        <v>361</v>
      </c>
      <c r="B43" s="66" t="s">
        <v>305</v>
      </c>
      <c r="C43" s="66" t="s">
        <v>362</v>
      </c>
      <c r="D43" s="63" t="s">
        <v>293</v>
      </c>
      <c r="E43" s="79">
        <v>3</v>
      </c>
      <c r="F43" s="35" t="s">
        <v>149</v>
      </c>
      <c r="G43" s="81" t="s">
        <v>161</v>
      </c>
      <c r="H43" s="81"/>
      <c r="I43" s="81"/>
      <c r="J43" s="81" t="s">
        <v>585</v>
      </c>
      <c r="K43" s="37"/>
      <c r="L43" s="37"/>
      <c r="M43" s="37"/>
    </row>
    <row r="44" spans="1:13" s="31" customFormat="1" ht="25.5">
      <c r="A44" s="66" t="s">
        <v>363</v>
      </c>
      <c r="B44" s="66" t="s">
        <v>305</v>
      </c>
      <c r="C44" s="66" t="s">
        <v>295</v>
      </c>
      <c r="D44" s="63" t="s">
        <v>293</v>
      </c>
      <c r="E44" s="79">
        <v>1</v>
      </c>
      <c r="F44" s="35" t="s">
        <v>149</v>
      </c>
      <c r="G44" s="81" t="s">
        <v>161</v>
      </c>
      <c r="H44" s="81"/>
      <c r="I44" s="81"/>
      <c r="J44" s="81" t="s">
        <v>579</v>
      </c>
      <c r="K44" s="37"/>
      <c r="L44" s="37"/>
      <c r="M44" s="37"/>
    </row>
    <row r="45" spans="1:13" s="31" customFormat="1" ht="25.5">
      <c r="A45" s="66" t="s">
        <v>364</v>
      </c>
      <c r="B45" s="66" t="s">
        <v>305</v>
      </c>
      <c r="C45" s="66" t="s">
        <v>365</v>
      </c>
      <c r="D45" s="63" t="s">
        <v>293</v>
      </c>
      <c r="E45" s="79">
        <v>1</v>
      </c>
      <c r="F45" s="35" t="s">
        <v>149</v>
      </c>
      <c r="G45" s="81" t="s">
        <v>161</v>
      </c>
      <c r="H45" s="81"/>
      <c r="I45" s="81"/>
      <c r="J45" s="81" t="s">
        <v>587</v>
      </c>
      <c r="K45" s="37"/>
      <c r="L45" s="37"/>
      <c r="M45" s="37"/>
    </row>
    <row r="46" spans="1:13" s="31" customFormat="1" ht="40.5">
      <c r="A46" s="67" t="s">
        <v>366</v>
      </c>
      <c r="B46" s="68" t="s">
        <v>305</v>
      </c>
      <c r="C46" s="68" t="s">
        <v>365</v>
      </c>
      <c r="D46" s="63" t="s">
        <v>293</v>
      </c>
      <c r="E46" s="79">
        <v>1</v>
      </c>
      <c r="F46" s="35" t="s">
        <v>149</v>
      </c>
      <c r="G46" s="81" t="s">
        <v>161</v>
      </c>
      <c r="H46" s="81"/>
      <c r="I46" s="81"/>
      <c r="J46" s="81" t="s">
        <v>587</v>
      </c>
      <c r="K46" s="37"/>
      <c r="L46" s="37"/>
      <c r="M46" s="37"/>
    </row>
    <row r="47" spans="1:13" s="31" customFormat="1" ht="40.5">
      <c r="A47" s="67" t="s">
        <v>367</v>
      </c>
      <c r="B47" s="68" t="s">
        <v>305</v>
      </c>
      <c r="C47" s="68" t="s">
        <v>48</v>
      </c>
      <c r="D47" s="63" t="s">
        <v>293</v>
      </c>
      <c r="E47" s="79">
        <v>1</v>
      </c>
      <c r="F47" s="35" t="s">
        <v>149</v>
      </c>
      <c r="G47" s="81" t="s">
        <v>161</v>
      </c>
      <c r="H47" s="81"/>
      <c r="I47" s="81"/>
      <c r="J47" s="81" t="s">
        <v>579</v>
      </c>
      <c r="K47" s="37"/>
      <c r="L47" s="37"/>
      <c r="M47" s="37"/>
    </row>
    <row r="48" spans="1:13" s="31" customFormat="1" ht="40.5">
      <c r="A48" s="67" t="s">
        <v>368</v>
      </c>
      <c r="B48" s="68" t="s">
        <v>305</v>
      </c>
      <c r="C48" s="68" t="s">
        <v>48</v>
      </c>
      <c r="D48" s="63" t="s">
        <v>293</v>
      </c>
      <c r="E48" s="79">
        <v>1</v>
      </c>
      <c r="F48" s="35" t="s">
        <v>149</v>
      </c>
      <c r="G48" s="81" t="s">
        <v>161</v>
      </c>
      <c r="H48" s="81"/>
      <c r="I48" s="81"/>
      <c r="J48" s="81" t="s">
        <v>586</v>
      </c>
      <c r="K48" s="37"/>
      <c r="L48" s="37"/>
      <c r="M48" s="37"/>
    </row>
    <row r="49" spans="1:13" s="31" customFormat="1" ht="40.5">
      <c r="A49" s="67" t="s">
        <v>369</v>
      </c>
      <c r="B49" s="68" t="s">
        <v>305</v>
      </c>
      <c r="C49" s="68" t="s">
        <v>295</v>
      </c>
      <c r="D49" s="63" t="s">
        <v>293</v>
      </c>
      <c r="E49" s="79">
        <v>1</v>
      </c>
      <c r="F49" s="35" t="s">
        <v>149</v>
      </c>
      <c r="G49" s="81" t="s">
        <v>161</v>
      </c>
      <c r="H49" s="81"/>
      <c r="I49" s="81"/>
      <c r="J49" s="81" t="s">
        <v>579</v>
      </c>
      <c r="K49" s="37"/>
      <c r="L49" s="37"/>
      <c r="M49" s="37"/>
    </row>
    <row r="50" spans="1:13" s="31" customFormat="1" ht="25.5">
      <c r="A50" s="66" t="s">
        <v>370</v>
      </c>
      <c r="B50" s="66" t="s">
        <v>305</v>
      </c>
      <c r="C50" s="66" t="s">
        <v>371</v>
      </c>
      <c r="D50" s="63" t="s">
        <v>293</v>
      </c>
      <c r="E50" s="79">
        <v>1</v>
      </c>
      <c r="F50" s="35" t="s">
        <v>149</v>
      </c>
      <c r="G50" s="81" t="s">
        <v>161</v>
      </c>
      <c r="H50" s="81"/>
      <c r="I50" s="81"/>
      <c r="J50" s="81" t="s">
        <v>579</v>
      </c>
      <c r="K50" s="37"/>
      <c r="L50" s="37"/>
      <c r="M50" s="37"/>
    </row>
    <row r="51" spans="1:13" s="31" customFormat="1" ht="25.5">
      <c r="A51" s="66" t="s">
        <v>372</v>
      </c>
      <c r="B51" s="66" t="s">
        <v>305</v>
      </c>
      <c r="C51" s="66" t="s">
        <v>295</v>
      </c>
      <c r="D51" s="63" t="s">
        <v>293</v>
      </c>
      <c r="E51" s="79">
        <v>1</v>
      </c>
      <c r="F51" s="35" t="s">
        <v>149</v>
      </c>
      <c r="G51" s="81" t="s">
        <v>161</v>
      </c>
      <c r="H51" s="81"/>
      <c r="I51" s="81"/>
      <c r="J51" s="81" t="s">
        <v>579</v>
      </c>
      <c r="K51" s="37"/>
      <c r="L51" s="37"/>
      <c r="M51" s="37"/>
    </row>
    <row r="52" spans="1:13" s="31" customFormat="1" ht="25.5">
      <c r="A52" s="66" t="s">
        <v>373</v>
      </c>
      <c r="B52" s="66" t="s">
        <v>305</v>
      </c>
      <c r="C52" s="66" t="s">
        <v>295</v>
      </c>
      <c r="D52" s="63" t="s">
        <v>293</v>
      </c>
      <c r="E52" s="79">
        <v>1</v>
      </c>
      <c r="F52" s="35" t="s">
        <v>149</v>
      </c>
      <c r="G52" s="81" t="s">
        <v>161</v>
      </c>
      <c r="H52" s="81"/>
      <c r="I52" s="81"/>
      <c r="J52" s="81" t="s">
        <v>579</v>
      </c>
      <c r="K52" s="37"/>
      <c r="L52" s="37"/>
      <c r="M52" s="37"/>
    </row>
    <row r="53" spans="1:13" s="31" customFormat="1" ht="25.5">
      <c r="A53" s="66" t="s">
        <v>374</v>
      </c>
      <c r="B53" s="66" t="s">
        <v>305</v>
      </c>
      <c r="C53" s="66" t="s">
        <v>295</v>
      </c>
      <c r="D53" s="63" t="s">
        <v>293</v>
      </c>
      <c r="E53" s="79">
        <v>1</v>
      </c>
      <c r="F53" s="35" t="s">
        <v>149</v>
      </c>
      <c r="G53" s="81" t="s">
        <v>161</v>
      </c>
      <c r="H53" s="81"/>
      <c r="I53" s="81"/>
      <c r="J53" s="81" t="s">
        <v>579</v>
      </c>
      <c r="K53" s="37"/>
      <c r="L53" s="37"/>
      <c r="M53" s="37"/>
    </row>
    <row r="54" spans="1:13" s="31" customFormat="1" ht="25.5">
      <c r="A54" s="66" t="s">
        <v>375</v>
      </c>
      <c r="B54" s="66" t="s">
        <v>305</v>
      </c>
      <c r="C54" s="66" t="s">
        <v>295</v>
      </c>
      <c r="D54" s="63" t="s">
        <v>293</v>
      </c>
      <c r="E54" s="79">
        <v>1</v>
      </c>
      <c r="F54" s="35" t="s">
        <v>149</v>
      </c>
      <c r="G54" s="81" t="s">
        <v>161</v>
      </c>
      <c r="H54" s="81"/>
      <c r="I54" s="81"/>
      <c r="J54" s="81" t="s">
        <v>579</v>
      </c>
      <c r="K54" s="37"/>
      <c r="L54" s="37"/>
      <c r="M54" s="37"/>
    </row>
    <row r="55" spans="1:13" s="31" customFormat="1" ht="40.5">
      <c r="A55" s="67" t="s">
        <v>376</v>
      </c>
      <c r="B55" s="68" t="s">
        <v>305</v>
      </c>
      <c r="C55" s="68" t="s">
        <v>295</v>
      </c>
      <c r="D55" s="63" t="s">
        <v>293</v>
      </c>
      <c r="E55" s="79">
        <v>1</v>
      </c>
      <c r="F55" s="35" t="s">
        <v>149</v>
      </c>
      <c r="G55" s="81" t="s">
        <v>161</v>
      </c>
      <c r="H55" s="81"/>
      <c r="I55" s="81"/>
      <c r="J55" s="81" t="s">
        <v>579</v>
      </c>
      <c r="K55" s="37"/>
      <c r="L55" s="37"/>
      <c r="M55" s="37"/>
    </row>
    <row r="56" spans="1:13" s="31" customFormat="1" ht="25.5">
      <c r="A56" s="66" t="s">
        <v>377</v>
      </c>
      <c r="B56" s="66" t="s">
        <v>305</v>
      </c>
      <c r="C56" s="66" t="s">
        <v>295</v>
      </c>
      <c r="D56" s="63" t="s">
        <v>293</v>
      </c>
      <c r="E56" s="79">
        <v>1</v>
      </c>
      <c r="F56" s="35" t="s">
        <v>149</v>
      </c>
      <c r="G56" s="81" t="s">
        <v>161</v>
      </c>
      <c r="H56" s="81"/>
      <c r="I56" s="81"/>
      <c r="J56" s="81" t="s">
        <v>579</v>
      </c>
      <c r="K56" s="37"/>
      <c r="L56" s="37"/>
      <c r="M56" s="37"/>
    </row>
    <row r="57" spans="1:13" s="31" customFormat="1" ht="25.5">
      <c r="A57" s="66" t="s">
        <v>378</v>
      </c>
      <c r="B57" s="66" t="s">
        <v>305</v>
      </c>
      <c r="C57" s="66" t="s">
        <v>295</v>
      </c>
      <c r="D57" s="63" t="s">
        <v>293</v>
      </c>
      <c r="E57" s="79">
        <v>1</v>
      </c>
      <c r="F57" s="35" t="s">
        <v>149</v>
      </c>
      <c r="G57" s="81" t="s">
        <v>161</v>
      </c>
      <c r="H57" s="81"/>
      <c r="I57" s="81"/>
      <c r="J57" s="81" t="s">
        <v>579</v>
      </c>
      <c r="K57" s="37"/>
      <c r="L57" s="37"/>
      <c r="M57" s="37"/>
    </row>
    <row r="58" spans="1:13" s="31" customFormat="1" ht="40.5">
      <c r="A58" s="67" t="s">
        <v>379</v>
      </c>
      <c r="B58" s="68" t="s">
        <v>305</v>
      </c>
      <c r="C58" s="68" t="s">
        <v>295</v>
      </c>
      <c r="D58" s="63" t="s">
        <v>293</v>
      </c>
      <c r="E58" s="79">
        <v>1</v>
      </c>
      <c r="F58" s="35" t="s">
        <v>149</v>
      </c>
      <c r="G58" s="81" t="s">
        <v>161</v>
      </c>
      <c r="H58" s="81"/>
      <c r="I58" s="81"/>
      <c r="J58" s="81" t="s">
        <v>579</v>
      </c>
      <c r="K58" s="37"/>
      <c r="L58" s="37"/>
      <c r="M58" s="37"/>
    </row>
    <row r="59" spans="1:13" s="31" customFormat="1" ht="40.5">
      <c r="A59" s="67" t="s">
        <v>380</v>
      </c>
      <c r="B59" s="68" t="s">
        <v>305</v>
      </c>
      <c r="C59" s="68" t="s">
        <v>295</v>
      </c>
      <c r="D59" s="63" t="s">
        <v>293</v>
      </c>
      <c r="E59" s="79">
        <v>1</v>
      </c>
      <c r="F59" s="35" t="s">
        <v>149</v>
      </c>
      <c r="G59" s="81" t="s">
        <v>161</v>
      </c>
      <c r="H59" s="81"/>
      <c r="I59" s="81"/>
      <c r="J59" s="81" t="s">
        <v>579</v>
      </c>
      <c r="K59" s="37"/>
      <c r="L59" s="37"/>
      <c r="M59" s="37"/>
    </row>
    <row r="60" spans="1:13" s="31" customFormat="1" ht="25.5">
      <c r="A60" s="66" t="s">
        <v>381</v>
      </c>
      <c r="B60" s="66" t="s">
        <v>305</v>
      </c>
      <c r="C60" s="66" t="s">
        <v>295</v>
      </c>
      <c r="D60" s="63" t="s">
        <v>293</v>
      </c>
      <c r="E60" s="79">
        <v>1</v>
      </c>
      <c r="F60" s="35" t="s">
        <v>149</v>
      </c>
      <c r="G60" s="81" t="s">
        <v>161</v>
      </c>
      <c r="H60" s="81"/>
      <c r="I60" s="81"/>
      <c r="J60" s="81" t="s">
        <v>579</v>
      </c>
      <c r="K60" s="37"/>
      <c r="L60" s="37"/>
      <c r="M60" s="37"/>
    </row>
    <row r="61" spans="1:13" s="31" customFormat="1" ht="25.5">
      <c r="A61" s="66" t="s">
        <v>382</v>
      </c>
      <c r="B61" s="66" t="s">
        <v>305</v>
      </c>
      <c r="C61" s="66" t="s">
        <v>295</v>
      </c>
      <c r="D61" s="63" t="s">
        <v>293</v>
      </c>
      <c r="E61" s="79">
        <v>1</v>
      </c>
      <c r="F61" s="35" t="s">
        <v>149</v>
      </c>
      <c r="G61" s="81" t="s">
        <v>161</v>
      </c>
      <c r="H61" s="81"/>
      <c r="I61" s="81"/>
      <c r="J61" s="81" t="s">
        <v>579</v>
      </c>
      <c r="K61" s="37"/>
      <c r="L61" s="37"/>
      <c r="M61" s="37"/>
    </row>
    <row r="62" spans="1:13" s="31" customFormat="1" ht="25.5">
      <c r="A62" s="66" t="s">
        <v>383</v>
      </c>
      <c r="B62" s="66" t="s">
        <v>305</v>
      </c>
      <c r="C62" s="66" t="s">
        <v>295</v>
      </c>
      <c r="D62" s="63" t="s">
        <v>293</v>
      </c>
      <c r="E62" s="79">
        <v>1</v>
      </c>
      <c r="F62" s="35" t="s">
        <v>149</v>
      </c>
      <c r="G62" s="81" t="s">
        <v>161</v>
      </c>
      <c r="H62" s="81"/>
      <c r="I62" s="81"/>
      <c r="J62" s="81" t="s">
        <v>579</v>
      </c>
      <c r="K62" s="37"/>
      <c r="L62" s="37"/>
      <c r="M62" s="37"/>
    </row>
    <row r="63" spans="1:13" s="31" customFormat="1" ht="25.5">
      <c r="A63" s="66" t="s">
        <v>384</v>
      </c>
      <c r="B63" s="66" t="s">
        <v>305</v>
      </c>
      <c r="C63" s="66" t="s">
        <v>295</v>
      </c>
      <c r="D63" s="63" t="s">
        <v>293</v>
      </c>
      <c r="E63" s="79">
        <v>1</v>
      </c>
      <c r="F63" s="35" t="s">
        <v>149</v>
      </c>
      <c r="G63" s="81" t="s">
        <v>161</v>
      </c>
      <c r="H63" s="81"/>
      <c r="I63" s="81"/>
      <c r="J63" s="81" t="s">
        <v>579</v>
      </c>
      <c r="K63" s="37"/>
      <c r="L63" s="37"/>
      <c r="M63" s="37"/>
    </row>
    <row r="64" spans="1:13" s="31" customFormat="1" ht="25.5">
      <c r="A64" s="66" t="s">
        <v>385</v>
      </c>
      <c r="B64" s="66" t="s">
        <v>305</v>
      </c>
      <c r="C64" s="66" t="s">
        <v>43</v>
      </c>
      <c r="D64" s="63" t="s">
        <v>293</v>
      </c>
      <c r="E64" s="79">
        <v>1</v>
      </c>
      <c r="F64" s="35" t="s">
        <v>149</v>
      </c>
      <c r="G64" s="81" t="s">
        <v>161</v>
      </c>
      <c r="H64" s="81"/>
      <c r="I64" s="81"/>
      <c r="J64" s="81" t="s">
        <v>579</v>
      </c>
      <c r="K64" s="37"/>
      <c r="L64" s="37"/>
      <c r="M64" s="37"/>
    </row>
    <row r="65" spans="1:13" s="31" customFormat="1" ht="25.5">
      <c r="A65" s="66" t="s">
        <v>386</v>
      </c>
      <c r="B65" s="66" t="s">
        <v>305</v>
      </c>
      <c r="C65" s="66" t="s">
        <v>263</v>
      </c>
      <c r="D65" s="63" t="s">
        <v>293</v>
      </c>
      <c r="E65" s="79">
        <v>1</v>
      </c>
      <c r="F65" s="35" t="s">
        <v>149</v>
      </c>
      <c r="G65" s="81" t="s">
        <v>161</v>
      </c>
      <c r="H65" s="81"/>
      <c r="I65" s="81"/>
      <c r="J65" s="81" t="s">
        <v>587</v>
      </c>
      <c r="K65" s="37"/>
      <c r="L65" s="37"/>
      <c r="M65" s="37"/>
    </row>
    <row r="66" spans="1:13" s="31" customFormat="1" ht="25.5">
      <c r="A66" s="66" t="s">
        <v>387</v>
      </c>
      <c r="B66" s="66" t="s">
        <v>305</v>
      </c>
      <c r="C66" s="66" t="s">
        <v>263</v>
      </c>
      <c r="D66" s="63" t="s">
        <v>293</v>
      </c>
      <c r="E66" s="79">
        <v>1</v>
      </c>
      <c r="F66" s="35" t="s">
        <v>149</v>
      </c>
      <c r="G66" s="81" t="s">
        <v>161</v>
      </c>
      <c r="H66" s="81"/>
      <c r="I66" s="81"/>
      <c r="J66" s="81" t="s">
        <v>586</v>
      </c>
      <c r="K66" s="37"/>
      <c r="L66" s="37"/>
      <c r="M66" s="37"/>
    </row>
    <row r="67" spans="1:13" s="31" customFormat="1" ht="40.5">
      <c r="A67" s="67" t="s">
        <v>388</v>
      </c>
      <c r="B67" s="68" t="s">
        <v>305</v>
      </c>
      <c r="C67" s="68" t="s">
        <v>47</v>
      </c>
      <c r="D67" s="63" t="s">
        <v>293</v>
      </c>
      <c r="E67" s="79">
        <v>1</v>
      </c>
      <c r="F67" s="35" t="s">
        <v>149</v>
      </c>
      <c r="G67" s="81" t="s">
        <v>161</v>
      </c>
      <c r="H67" s="81"/>
      <c r="I67" s="81"/>
      <c r="J67" s="81" t="s">
        <v>586</v>
      </c>
      <c r="K67" s="37"/>
      <c r="L67" s="37"/>
      <c r="M67" s="37"/>
    </row>
    <row r="68" spans="1:13" s="31" customFormat="1" ht="40.5">
      <c r="A68" s="67" t="s">
        <v>389</v>
      </c>
      <c r="B68" s="68" t="s">
        <v>305</v>
      </c>
      <c r="C68" s="68" t="s">
        <v>47</v>
      </c>
      <c r="D68" s="63" t="s">
        <v>293</v>
      </c>
      <c r="E68" s="79">
        <v>1</v>
      </c>
      <c r="F68" s="35" t="s">
        <v>149</v>
      </c>
      <c r="G68" s="81" t="s">
        <v>161</v>
      </c>
      <c r="H68" s="81"/>
      <c r="I68" s="81"/>
      <c r="J68" s="81" t="s">
        <v>586</v>
      </c>
      <c r="K68" s="37"/>
      <c r="L68" s="37"/>
      <c r="M68" s="37"/>
    </row>
    <row r="69" spans="1:13" s="31" customFormat="1" ht="25.5">
      <c r="A69" s="66" t="s">
        <v>390</v>
      </c>
      <c r="B69" s="66" t="s">
        <v>305</v>
      </c>
      <c r="C69" s="66" t="s">
        <v>47</v>
      </c>
      <c r="D69" s="63" t="s">
        <v>293</v>
      </c>
      <c r="E69" s="79">
        <v>1</v>
      </c>
      <c r="F69" s="35" t="s">
        <v>149</v>
      </c>
      <c r="G69" s="81" t="s">
        <v>161</v>
      </c>
      <c r="H69" s="81"/>
      <c r="I69" s="81"/>
      <c r="J69" s="81" t="s">
        <v>586</v>
      </c>
      <c r="K69" s="37"/>
      <c r="L69" s="37"/>
      <c r="M69" s="37"/>
    </row>
    <row r="70" spans="1:13" s="31" customFormat="1" ht="25.5">
      <c r="A70" s="66" t="s">
        <v>391</v>
      </c>
      <c r="B70" s="66" t="s">
        <v>305</v>
      </c>
      <c r="C70" s="66" t="s">
        <v>47</v>
      </c>
      <c r="D70" s="63" t="s">
        <v>293</v>
      </c>
      <c r="E70" s="79">
        <v>1</v>
      </c>
      <c r="F70" s="35" t="s">
        <v>149</v>
      </c>
      <c r="G70" s="81" t="s">
        <v>161</v>
      </c>
      <c r="H70" s="81"/>
      <c r="I70" s="81"/>
      <c r="J70" s="81" t="s">
        <v>586</v>
      </c>
      <c r="K70" s="37"/>
      <c r="L70" s="37"/>
      <c r="M70" s="37"/>
    </row>
    <row r="71" spans="1:13" s="31" customFormat="1" ht="25.5">
      <c r="A71" s="66" t="s">
        <v>392</v>
      </c>
      <c r="B71" s="66" t="s">
        <v>305</v>
      </c>
      <c r="C71" s="66" t="s">
        <v>263</v>
      </c>
      <c r="D71" s="63" t="s">
        <v>293</v>
      </c>
      <c r="E71" s="79">
        <v>1</v>
      </c>
      <c r="F71" s="35" t="s">
        <v>149</v>
      </c>
      <c r="G71" s="81" t="s">
        <v>161</v>
      </c>
      <c r="H71" s="81"/>
      <c r="I71" s="81"/>
      <c r="J71" s="81" t="s">
        <v>586</v>
      </c>
      <c r="K71" s="37"/>
      <c r="L71" s="37"/>
      <c r="M71" s="37"/>
    </row>
    <row r="72" spans="1:13" s="31" customFormat="1" ht="40.5">
      <c r="A72" s="70" t="s">
        <v>393</v>
      </c>
      <c r="B72" s="71" t="s">
        <v>305</v>
      </c>
      <c r="C72" s="71" t="s">
        <v>394</v>
      </c>
      <c r="D72" s="63" t="s">
        <v>293</v>
      </c>
      <c r="E72" s="79">
        <v>1</v>
      </c>
      <c r="F72" s="35" t="s">
        <v>149</v>
      </c>
      <c r="G72" s="81" t="s">
        <v>161</v>
      </c>
      <c r="H72" s="81"/>
      <c r="I72" s="81"/>
      <c r="J72" s="81" t="s">
        <v>585</v>
      </c>
      <c r="K72" s="37"/>
      <c r="L72" s="37"/>
      <c r="M72" s="37"/>
    </row>
    <row r="73" spans="1:13" s="31" customFormat="1" ht="25.5">
      <c r="A73" s="66" t="s">
        <v>395</v>
      </c>
      <c r="B73" s="66" t="s">
        <v>305</v>
      </c>
      <c r="C73" s="66" t="s">
        <v>123</v>
      </c>
      <c r="D73" s="63" t="s">
        <v>293</v>
      </c>
      <c r="E73" s="79">
        <v>1</v>
      </c>
      <c r="F73" s="35" t="s">
        <v>149</v>
      </c>
      <c r="G73" s="81" t="s">
        <v>161</v>
      </c>
      <c r="H73" s="81"/>
      <c r="I73" s="81"/>
      <c r="J73" s="81" t="s">
        <v>587</v>
      </c>
      <c r="K73" s="37"/>
      <c r="L73" s="37"/>
      <c r="M73" s="37"/>
    </row>
    <row r="74" spans="1:13" s="31" customFormat="1" ht="40.5">
      <c r="A74" s="67" t="s">
        <v>396</v>
      </c>
      <c r="B74" s="68" t="s">
        <v>305</v>
      </c>
      <c r="C74" s="68" t="s">
        <v>397</v>
      </c>
      <c r="D74" s="63" t="s">
        <v>293</v>
      </c>
      <c r="E74" s="79">
        <v>1</v>
      </c>
      <c r="F74" s="35" t="s">
        <v>149</v>
      </c>
      <c r="G74" s="81" t="s">
        <v>161</v>
      </c>
      <c r="H74" s="81"/>
      <c r="I74" s="81"/>
      <c r="J74" s="81" t="s">
        <v>587</v>
      </c>
      <c r="K74" s="37"/>
      <c r="L74" s="37"/>
      <c r="M74" s="37"/>
    </row>
    <row r="75" spans="1:13" s="31" customFormat="1" ht="40.5">
      <c r="A75" s="67" t="s">
        <v>398</v>
      </c>
      <c r="B75" s="68" t="s">
        <v>305</v>
      </c>
      <c r="C75" s="68" t="s">
        <v>48</v>
      </c>
      <c r="D75" s="63" t="s">
        <v>293</v>
      </c>
      <c r="E75" s="79">
        <v>1</v>
      </c>
      <c r="F75" s="35" t="s">
        <v>149</v>
      </c>
      <c r="G75" s="81" t="s">
        <v>161</v>
      </c>
      <c r="H75" s="81"/>
      <c r="I75" s="81"/>
      <c r="J75" s="81" t="s">
        <v>579</v>
      </c>
      <c r="K75" s="37"/>
      <c r="L75" s="37"/>
      <c r="M75" s="37"/>
    </row>
    <row r="76" spans="1:13" s="31" customFormat="1" ht="40.5">
      <c r="A76" s="67" t="s">
        <v>399</v>
      </c>
      <c r="B76" s="68" t="s">
        <v>305</v>
      </c>
      <c r="C76" s="68" t="s">
        <v>50</v>
      </c>
      <c r="D76" s="63" t="s">
        <v>293</v>
      </c>
      <c r="E76" s="79">
        <v>1</v>
      </c>
      <c r="F76" s="35" t="s">
        <v>149</v>
      </c>
      <c r="G76" s="81" t="s">
        <v>161</v>
      </c>
      <c r="H76" s="81"/>
      <c r="I76" s="81"/>
      <c r="J76" s="81" t="s">
        <v>579</v>
      </c>
      <c r="K76" s="37"/>
      <c r="L76" s="37"/>
      <c r="M76" s="37"/>
    </row>
    <row r="77" spans="1:13" s="31" customFormat="1" ht="25.5">
      <c r="A77" s="66" t="s">
        <v>400</v>
      </c>
      <c r="B77" s="66" t="s">
        <v>305</v>
      </c>
      <c r="C77" s="66" t="s">
        <v>48</v>
      </c>
      <c r="D77" s="63" t="s">
        <v>293</v>
      </c>
      <c r="E77" s="79">
        <v>1</v>
      </c>
      <c r="F77" s="35" t="s">
        <v>149</v>
      </c>
      <c r="G77" s="81" t="s">
        <v>161</v>
      </c>
      <c r="H77" s="81"/>
      <c r="I77" s="81"/>
      <c r="J77" s="81" t="s">
        <v>579</v>
      </c>
      <c r="K77" s="37"/>
      <c r="L77" s="37"/>
      <c r="M77" s="37"/>
    </row>
    <row r="78" spans="1:13" s="31" customFormat="1" ht="25.5">
      <c r="A78" s="66" t="s">
        <v>401</v>
      </c>
      <c r="B78" s="66" t="s">
        <v>305</v>
      </c>
      <c r="C78" s="66" t="s">
        <v>43</v>
      </c>
      <c r="D78" s="63" t="s">
        <v>293</v>
      </c>
      <c r="E78" s="79">
        <v>1</v>
      </c>
      <c r="F78" s="35" t="s">
        <v>149</v>
      </c>
      <c r="G78" s="81" t="s">
        <v>161</v>
      </c>
      <c r="H78" s="81"/>
      <c r="I78" s="81"/>
      <c r="J78" s="81" t="s">
        <v>579</v>
      </c>
      <c r="K78" s="37"/>
      <c r="L78" s="37"/>
      <c r="M78" s="37"/>
    </row>
    <row r="79" spans="1:13" s="31" customFormat="1" ht="40.5">
      <c r="A79" s="67" t="s">
        <v>402</v>
      </c>
      <c r="B79" s="68" t="s">
        <v>305</v>
      </c>
      <c r="C79" s="68" t="s">
        <v>348</v>
      </c>
      <c r="D79" s="63" t="s">
        <v>293</v>
      </c>
      <c r="E79" s="79">
        <v>1</v>
      </c>
      <c r="F79" s="35" t="s">
        <v>149</v>
      </c>
      <c r="G79" s="81" t="s">
        <v>161</v>
      </c>
      <c r="H79" s="81"/>
      <c r="I79" s="81"/>
      <c r="J79" s="81" t="s">
        <v>578</v>
      </c>
      <c r="K79" s="37"/>
      <c r="L79" s="37"/>
      <c r="M79" s="37"/>
    </row>
    <row r="80" spans="1:13" s="31" customFormat="1" ht="25.5">
      <c r="A80" s="66" t="s">
        <v>403</v>
      </c>
      <c r="B80" s="66" t="s">
        <v>305</v>
      </c>
      <c r="C80" s="66" t="s">
        <v>123</v>
      </c>
      <c r="D80" s="63" t="s">
        <v>293</v>
      </c>
      <c r="E80" s="79">
        <v>1</v>
      </c>
      <c r="F80" s="35" t="s">
        <v>149</v>
      </c>
      <c r="G80" s="81" t="s">
        <v>161</v>
      </c>
      <c r="H80" s="81"/>
      <c r="I80" s="81"/>
      <c r="J80" s="81" t="s">
        <v>585</v>
      </c>
      <c r="K80" s="37"/>
      <c r="L80" s="37"/>
      <c r="M80" s="37"/>
    </row>
    <row r="81" spans="1:13" s="31" customFormat="1" ht="25.5">
      <c r="A81" s="66" t="s">
        <v>404</v>
      </c>
      <c r="B81" s="66" t="s">
        <v>305</v>
      </c>
      <c r="C81" s="66" t="s">
        <v>50</v>
      </c>
      <c r="D81" s="63" t="s">
        <v>293</v>
      </c>
      <c r="E81" s="79">
        <v>1</v>
      </c>
      <c r="F81" s="35" t="s">
        <v>149</v>
      </c>
      <c r="G81" s="81" t="s">
        <v>161</v>
      </c>
      <c r="H81" s="81"/>
      <c r="I81" s="81"/>
      <c r="J81" s="81" t="s">
        <v>579</v>
      </c>
      <c r="K81" s="37"/>
      <c r="L81" s="37"/>
      <c r="M81" s="37"/>
    </row>
    <row r="82" spans="1:13" s="31" customFormat="1" ht="40.5">
      <c r="A82" s="67" t="s">
        <v>405</v>
      </c>
      <c r="B82" s="68" t="s">
        <v>305</v>
      </c>
      <c r="C82" s="68" t="s">
        <v>48</v>
      </c>
      <c r="D82" s="63" t="s">
        <v>293</v>
      </c>
      <c r="E82" s="79">
        <v>1</v>
      </c>
      <c r="F82" s="35" t="s">
        <v>149</v>
      </c>
      <c r="G82" s="81" t="s">
        <v>161</v>
      </c>
      <c r="H82" s="81"/>
      <c r="I82" s="81"/>
      <c r="J82" s="81" t="s">
        <v>579</v>
      </c>
      <c r="K82" s="37"/>
      <c r="L82" s="37"/>
      <c r="M82" s="37"/>
    </row>
    <row r="83" spans="1:13" s="31" customFormat="1" ht="40.5">
      <c r="A83" s="67" t="s">
        <v>406</v>
      </c>
      <c r="B83" s="68" t="s">
        <v>305</v>
      </c>
      <c r="C83" s="68" t="s">
        <v>50</v>
      </c>
      <c r="D83" s="63" t="s">
        <v>293</v>
      </c>
      <c r="E83" s="79">
        <v>1</v>
      </c>
      <c r="F83" s="35" t="s">
        <v>149</v>
      </c>
      <c r="G83" s="81" t="s">
        <v>161</v>
      </c>
      <c r="H83" s="81"/>
      <c r="I83" s="81"/>
      <c r="J83" s="81" t="s">
        <v>579</v>
      </c>
      <c r="K83" s="37"/>
      <c r="L83" s="37"/>
      <c r="M83" s="37"/>
    </row>
    <row r="84" spans="1:13" s="31" customFormat="1" ht="40.5">
      <c r="A84" s="67" t="s">
        <v>407</v>
      </c>
      <c r="B84" s="68" t="s">
        <v>305</v>
      </c>
      <c r="C84" s="68" t="s">
        <v>48</v>
      </c>
      <c r="D84" s="63" t="s">
        <v>293</v>
      </c>
      <c r="E84" s="79">
        <v>1</v>
      </c>
      <c r="F84" s="35" t="s">
        <v>149</v>
      </c>
      <c r="G84" s="81" t="s">
        <v>161</v>
      </c>
      <c r="H84" s="81"/>
      <c r="I84" s="81"/>
      <c r="J84" s="81" t="s">
        <v>579</v>
      </c>
      <c r="K84" s="37"/>
      <c r="L84" s="37"/>
      <c r="M84" s="37"/>
    </row>
    <row r="85" spans="1:13" s="31" customFormat="1" ht="40.5">
      <c r="A85" s="67" t="s">
        <v>408</v>
      </c>
      <c r="B85" s="68" t="s">
        <v>305</v>
      </c>
      <c r="C85" s="68" t="s">
        <v>43</v>
      </c>
      <c r="D85" s="63" t="s">
        <v>293</v>
      </c>
      <c r="E85" s="79">
        <v>1</v>
      </c>
      <c r="F85" s="35" t="s">
        <v>149</v>
      </c>
      <c r="G85" s="81" t="s">
        <v>161</v>
      </c>
      <c r="H85" s="81"/>
      <c r="I85" s="81"/>
      <c r="J85" s="81" t="s">
        <v>579</v>
      </c>
      <c r="K85" s="37"/>
      <c r="L85" s="37"/>
      <c r="M85" s="37"/>
    </row>
    <row r="86" spans="1:13" s="31" customFormat="1" ht="40.5">
      <c r="A86" s="67" t="s">
        <v>409</v>
      </c>
      <c r="B86" s="68" t="s">
        <v>305</v>
      </c>
      <c r="C86" s="68" t="s">
        <v>410</v>
      </c>
      <c r="D86" s="63" t="s">
        <v>293</v>
      </c>
      <c r="E86" s="79">
        <v>1</v>
      </c>
      <c r="F86" s="35" t="s">
        <v>149</v>
      </c>
      <c r="G86" s="81" t="s">
        <v>161</v>
      </c>
      <c r="H86" s="81"/>
      <c r="I86" s="81"/>
      <c r="J86" s="81" t="s">
        <v>579</v>
      </c>
      <c r="K86" s="37"/>
      <c r="L86" s="37"/>
      <c r="M86" s="37"/>
    </row>
    <row r="87" spans="1:13" s="31" customFormat="1" ht="40.5">
      <c r="A87" s="67" t="s">
        <v>411</v>
      </c>
      <c r="B87" s="68" t="s">
        <v>305</v>
      </c>
      <c r="C87" s="68" t="s">
        <v>50</v>
      </c>
      <c r="D87" s="63" t="s">
        <v>293</v>
      </c>
      <c r="E87" s="79">
        <v>1</v>
      </c>
      <c r="F87" s="35" t="s">
        <v>149</v>
      </c>
      <c r="G87" s="81" t="s">
        <v>161</v>
      </c>
      <c r="H87" s="81"/>
      <c r="I87" s="81"/>
      <c r="J87" s="81" t="s">
        <v>579</v>
      </c>
      <c r="K87" s="37"/>
      <c r="L87" s="37"/>
      <c r="M87" s="37"/>
    </row>
    <row r="88" spans="1:13" s="31" customFormat="1" ht="40.5">
      <c r="A88" s="67" t="s">
        <v>412</v>
      </c>
      <c r="B88" s="68" t="s">
        <v>311</v>
      </c>
      <c r="C88" s="68" t="s">
        <v>43</v>
      </c>
      <c r="D88" s="63" t="s">
        <v>546</v>
      </c>
      <c r="E88" s="79">
        <v>1</v>
      </c>
      <c r="F88" s="35" t="s">
        <v>149</v>
      </c>
      <c r="G88" s="81" t="s">
        <v>161</v>
      </c>
      <c r="H88" s="81"/>
      <c r="I88" s="81"/>
      <c r="J88" s="81" t="s">
        <v>588</v>
      </c>
      <c r="K88" s="37"/>
      <c r="L88" s="37"/>
      <c r="M88" s="37"/>
    </row>
    <row r="89" spans="1:13" s="31" customFormat="1" ht="40.5">
      <c r="A89" s="67" t="s">
        <v>413</v>
      </c>
      <c r="B89" s="68" t="s">
        <v>311</v>
      </c>
      <c r="C89" s="68" t="s">
        <v>43</v>
      </c>
      <c r="D89" s="63" t="s">
        <v>546</v>
      </c>
      <c r="E89" s="79">
        <v>5</v>
      </c>
      <c r="F89" s="35" t="s">
        <v>149</v>
      </c>
      <c r="G89" s="81" t="s">
        <v>161</v>
      </c>
      <c r="H89" s="81"/>
      <c r="I89" s="81"/>
      <c r="J89" s="81" t="s">
        <v>589</v>
      </c>
      <c r="K89" s="37"/>
      <c r="L89" s="37"/>
      <c r="M89" s="37"/>
    </row>
    <row r="90" spans="1:13" s="31" customFormat="1" ht="40.5">
      <c r="A90" s="67" t="s">
        <v>414</v>
      </c>
      <c r="B90" s="68" t="s">
        <v>311</v>
      </c>
      <c r="C90" s="68" t="s">
        <v>50</v>
      </c>
      <c r="D90" s="63" t="s">
        <v>546</v>
      </c>
      <c r="E90" s="79">
        <v>1</v>
      </c>
      <c r="F90" s="35" t="s">
        <v>149</v>
      </c>
      <c r="G90" s="81" t="s">
        <v>161</v>
      </c>
      <c r="H90" s="81"/>
      <c r="I90" s="81"/>
      <c r="J90" s="81" t="s">
        <v>578</v>
      </c>
      <c r="K90" s="37"/>
      <c r="L90" s="37"/>
      <c r="M90" s="37"/>
    </row>
    <row r="91" spans="1:13" s="31" customFormat="1" ht="40.5">
      <c r="A91" s="67" t="s">
        <v>413</v>
      </c>
      <c r="B91" s="68" t="s">
        <v>311</v>
      </c>
      <c r="C91" s="68" t="s">
        <v>43</v>
      </c>
      <c r="D91" s="63" t="s">
        <v>546</v>
      </c>
      <c r="E91" s="79">
        <v>2</v>
      </c>
      <c r="F91" s="35" t="s">
        <v>149</v>
      </c>
      <c r="G91" s="81" t="s">
        <v>161</v>
      </c>
      <c r="H91" s="81"/>
      <c r="I91" s="81"/>
      <c r="J91" s="81" t="s">
        <v>578</v>
      </c>
      <c r="K91" s="37"/>
      <c r="L91" s="37"/>
      <c r="M91" s="37"/>
    </row>
    <row r="92" spans="1:13" s="31" customFormat="1" ht="40.5">
      <c r="A92" s="67" t="s">
        <v>415</v>
      </c>
      <c r="B92" s="68" t="s">
        <v>311</v>
      </c>
      <c r="C92" s="68" t="s">
        <v>295</v>
      </c>
      <c r="D92" s="63" t="s">
        <v>546</v>
      </c>
      <c r="E92" s="79">
        <v>3</v>
      </c>
      <c r="F92" s="35" t="s">
        <v>149</v>
      </c>
      <c r="G92" s="81" t="s">
        <v>161</v>
      </c>
      <c r="H92" s="81"/>
      <c r="I92" s="81"/>
      <c r="J92" s="81" t="s">
        <v>575</v>
      </c>
      <c r="K92" s="37"/>
      <c r="L92" s="37"/>
      <c r="M92" s="37"/>
    </row>
    <row r="93" spans="1:13" s="31" customFormat="1" ht="40.5">
      <c r="A93" s="67" t="s">
        <v>416</v>
      </c>
      <c r="B93" s="68" t="s">
        <v>417</v>
      </c>
      <c r="C93" s="68" t="s">
        <v>418</v>
      </c>
      <c r="D93" s="63" t="s">
        <v>551</v>
      </c>
      <c r="E93" s="79">
        <v>4000</v>
      </c>
      <c r="F93" s="35" t="s">
        <v>149</v>
      </c>
      <c r="G93" s="81" t="s">
        <v>161</v>
      </c>
      <c r="H93" s="81"/>
      <c r="I93" s="81"/>
      <c r="J93" s="81" t="s">
        <v>590</v>
      </c>
      <c r="K93" s="37"/>
      <c r="L93" s="37"/>
      <c r="M93" s="37"/>
    </row>
    <row r="94" spans="1:13" s="31" customFormat="1" ht="54">
      <c r="A94" s="67" t="s">
        <v>419</v>
      </c>
      <c r="B94" s="68" t="s">
        <v>420</v>
      </c>
      <c r="C94" s="68" t="s">
        <v>421</v>
      </c>
      <c r="D94" s="63" t="s">
        <v>552</v>
      </c>
      <c r="E94" s="79">
        <v>2</v>
      </c>
      <c r="F94" s="35" t="s">
        <v>149</v>
      </c>
      <c r="G94" s="81" t="s">
        <v>161</v>
      </c>
      <c r="H94" s="81"/>
      <c r="I94" s="81"/>
      <c r="J94" s="81" t="s">
        <v>591</v>
      </c>
      <c r="K94" s="37"/>
      <c r="L94" s="37"/>
      <c r="M94" s="37"/>
    </row>
    <row r="95" spans="1:13" s="31" customFormat="1" ht="54">
      <c r="A95" s="67" t="s">
        <v>422</v>
      </c>
      <c r="B95" s="68" t="s">
        <v>423</v>
      </c>
      <c r="C95" s="68" t="s">
        <v>38</v>
      </c>
      <c r="D95" s="63" t="s">
        <v>553</v>
      </c>
      <c r="E95" s="79">
        <v>1</v>
      </c>
      <c r="F95" s="35" t="s">
        <v>149</v>
      </c>
      <c r="G95" s="81" t="s">
        <v>161</v>
      </c>
      <c r="H95" s="81"/>
      <c r="I95" s="81"/>
      <c r="J95" s="81" t="s">
        <v>592</v>
      </c>
      <c r="K95" s="37"/>
      <c r="L95" s="37"/>
      <c r="M95" s="37"/>
    </row>
    <row r="96" spans="1:13" s="31" customFormat="1" ht="40.5">
      <c r="A96" s="67" t="s">
        <v>424</v>
      </c>
      <c r="B96" s="68" t="s">
        <v>425</v>
      </c>
      <c r="C96" s="68" t="s">
        <v>426</v>
      </c>
      <c r="D96" s="63" t="s">
        <v>554</v>
      </c>
      <c r="E96" s="79">
        <v>2</v>
      </c>
      <c r="F96" s="35" t="s">
        <v>149</v>
      </c>
      <c r="G96" s="81" t="s">
        <v>161</v>
      </c>
      <c r="H96" s="81"/>
      <c r="I96" s="81"/>
      <c r="J96" s="81" t="s">
        <v>584</v>
      </c>
      <c r="K96" s="37"/>
      <c r="L96" s="37"/>
      <c r="M96" s="37"/>
    </row>
    <row r="97" spans="1:13" s="31" customFormat="1" ht="40.5">
      <c r="A97" s="67" t="s">
        <v>427</v>
      </c>
      <c r="B97" s="68" t="s">
        <v>425</v>
      </c>
      <c r="C97" s="68" t="s">
        <v>428</v>
      </c>
      <c r="D97" s="63" t="s">
        <v>554</v>
      </c>
      <c r="E97" s="79">
        <v>12</v>
      </c>
      <c r="F97" s="35" t="s">
        <v>149</v>
      </c>
      <c r="G97" s="81" t="s">
        <v>161</v>
      </c>
      <c r="H97" s="81"/>
      <c r="I97" s="81"/>
      <c r="J97" s="81" t="s">
        <v>593</v>
      </c>
      <c r="K97" s="37"/>
      <c r="L97" s="37"/>
      <c r="M97" s="37"/>
    </row>
    <row r="98" spans="1:13" s="31" customFormat="1" ht="40.5">
      <c r="A98" s="67" t="s">
        <v>429</v>
      </c>
      <c r="B98" s="68" t="s">
        <v>425</v>
      </c>
      <c r="C98" s="68" t="s">
        <v>430</v>
      </c>
      <c r="D98" s="63" t="s">
        <v>554</v>
      </c>
      <c r="E98" s="79">
        <v>6</v>
      </c>
      <c r="F98" s="35" t="s">
        <v>149</v>
      </c>
      <c r="G98" s="81" t="s">
        <v>161</v>
      </c>
      <c r="H98" s="81"/>
      <c r="I98" s="81"/>
      <c r="J98" s="81" t="s">
        <v>594</v>
      </c>
      <c r="K98" s="37"/>
      <c r="L98" s="37"/>
      <c r="M98" s="37"/>
    </row>
    <row r="99" spans="1:13" s="31" customFormat="1" ht="40.5">
      <c r="A99" s="67" t="s">
        <v>431</v>
      </c>
      <c r="B99" s="68" t="s">
        <v>425</v>
      </c>
      <c r="C99" s="68" t="s">
        <v>432</v>
      </c>
      <c r="D99" s="63" t="s">
        <v>554</v>
      </c>
      <c r="E99" s="79">
        <v>39</v>
      </c>
      <c r="F99" s="35" t="s">
        <v>149</v>
      </c>
      <c r="G99" s="81" t="s">
        <v>161</v>
      </c>
      <c r="H99" s="81"/>
      <c r="I99" s="81"/>
      <c r="J99" s="81" t="s">
        <v>593</v>
      </c>
      <c r="K99" s="37"/>
      <c r="L99" s="37"/>
      <c r="M99" s="37"/>
    </row>
    <row r="100" spans="1:13" s="31" customFormat="1" ht="40.5">
      <c r="A100" s="67" t="s">
        <v>433</v>
      </c>
      <c r="B100" s="68" t="s">
        <v>425</v>
      </c>
      <c r="C100" s="68" t="s">
        <v>434</v>
      </c>
      <c r="D100" s="63" t="s">
        <v>554</v>
      </c>
      <c r="E100" s="79">
        <v>8</v>
      </c>
      <c r="F100" s="35" t="s">
        <v>149</v>
      </c>
      <c r="G100" s="81" t="s">
        <v>161</v>
      </c>
      <c r="H100" s="81"/>
      <c r="I100" s="81"/>
      <c r="J100" s="81" t="s">
        <v>594</v>
      </c>
      <c r="K100" s="37"/>
      <c r="L100" s="37"/>
      <c r="M100" s="37"/>
    </row>
    <row r="101" spans="1:13" s="31" customFormat="1" ht="40.5">
      <c r="A101" s="67" t="s">
        <v>435</v>
      </c>
      <c r="B101" s="68" t="s">
        <v>425</v>
      </c>
      <c r="C101" s="68" t="s">
        <v>436</v>
      </c>
      <c r="D101" s="63" t="s">
        <v>554</v>
      </c>
      <c r="E101" s="79">
        <v>16</v>
      </c>
      <c r="F101" s="35" t="s">
        <v>149</v>
      </c>
      <c r="G101" s="81" t="s">
        <v>161</v>
      </c>
      <c r="H101" s="81"/>
      <c r="I101" s="81"/>
      <c r="J101" s="81" t="s">
        <v>593</v>
      </c>
      <c r="K101" s="37"/>
      <c r="L101" s="37"/>
      <c r="M101" s="37"/>
    </row>
    <row r="102" spans="1:13" s="31" customFormat="1" ht="54">
      <c r="A102" s="67" t="s">
        <v>437</v>
      </c>
      <c r="B102" s="68" t="s">
        <v>425</v>
      </c>
      <c r="C102" s="68" t="s">
        <v>438</v>
      </c>
      <c r="D102" s="63" t="s">
        <v>554</v>
      </c>
      <c r="E102" s="79">
        <v>10</v>
      </c>
      <c r="F102" s="35" t="s">
        <v>149</v>
      </c>
      <c r="G102" s="81" t="s">
        <v>161</v>
      </c>
      <c r="H102" s="81"/>
      <c r="I102" s="81"/>
      <c r="J102" s="81" t="s">
        <v>584</v>
      </c>
      <c r="K102" s="37"/>
      <c r="L102" s="37"/>
      <c r="M102" s="37"/>
    </row>
    <row r="103" spans="1:13" s="31" customFormat="1" ht="54">
      <c r="A103" s="67" t="s">
        <v>439</v>
      </c>
      <c r="B103" s="68" t="s">
        <v>425</v>
      </c>
      <c r="C103" s="68" t="s">
        <v>440</v>
      </c>
      <c r="D103" s="63" t="s">
        <v>554</v>
      </c>
      <c r="E103" s="79">
        <v>10</v>
      </c>
      <c r="F103" s="35" t="s">
        <v>149</v>
      </c>
      <c r="G103" s="81" t="s">
        <v>161</v>
      </c>
      <c r="H103" s="81"/>
      <c r="I103" s="81"/>
      <c r="J103" s="81" t="s">
        <v>584</v>
      </c>
      <c r="K103" s="37"/>
      <c r="L103" s="37"/>
      <c r="M103" s="37"/>
    </row>
    <row r="104" spans="1:13" s="31" customFormat="1" ht="54">
      <c r="A104" s="70" t="s">
        <v>441</v>
      </c>
      <c r="B104" s="71" t="s">
        <v>425</v>
      </c>
      <c r="C104" s="71" t="s">
        <v>440</v>
      </c>
      <c r="D104" s="63" t="s">
        <v>554</v>
      </c>
      <c r="E104" s="79">
        <v>10</v>
      </c>
      <c r="F104" s="35" t="s">
        <v>149</v>
      </c>
      <c r="G104" s="81" t="s">
        <v>161</v>
      </c>
      <c r="H104" s="81"/>
      <c r="I104" s="81"/>
      <c r="J104" s="81" t="s">
        <v>584</v>
      </c>
      <c r="K104" s="37"/>
      <c r="L104" s="37"/>
      <c r="M104" s="37"/>
    </row>
    <row r="105" spans="1:13" s="31" customFormat="1" ht="40.5">
      <c r="A105" s="67" t="s">
        <v>442</v>
      </c>
      <c r="B105" s="68" t="s">
        <v>425</v>
      </c>
      <c r="C105" s="68" t="s">
        <v>443</v>
      </c>
      <c r="D105" s="63" t="s">
        <v>554</v>
      </c>
      <c r="E105" s="79">
        <v>10</v>
      </c>
      <c r="F105" s="35" t="s">
        <v>149</v>
      </c>
      <c r="G105" s="81" t="s">
        <v>161</v>
      </c>
      <c r="H105" s="81"/>
      <c r="I105" s="81"/>
      <c r="J105" s="81" t="s">
        <v>584</v>
      </c>
      <c r="K105" s="37"/>
      <c r="L105" s="37"/>
      <c r="M105" s="37"/>
    </row>
    <row r="106" spans="1:13" s="31" customFormat="1" ht="40.5">
      <c r="A106" s="67" t="s">
        <v>444</v>
      </c>
      <c r="B106" s="68" t="s">
        <v>425</v>
      </c>
      <c r="C106" s="68" t="s">
        <v>443</v>
      </c>
      <c r="D106" s="63" t="s">
        <v>554</v>
      </c>
      <c r="E106" s="79">
        <v>10</v>
      </c>
      <c r="F106" s="35" t="s">
        <v>149</v>
      </c>
      <c r="G106" s="81" t="s">
        <v>161</v>
      </c>
      <c r="H106" s="81"/>
      <c r="I106" s="81"/>
      <c r="J106" s="81" t="s">
        <v>584</v>
      </c>
      <c r="K106" s="37"/>
      <c r="L106" s="37"/>
      <c r="M106" s="37"/>
    </row>
    <row r="107" spans="1:13" s="31" customFormat="1" ht="40.5">
      <c r="A107" s="67" t="s">
        <v>445</v>
      </c>
      <c r="B107" s="68" t="s">
        <v>425</v>
      </c>
      <c r="C107" s="68" t="s">
        <v>443</v>
      </c>
      <c r="D107" s="63" t="s">
        <v>554</v>
      </c>
      <c r="E107" s="79">
        <v>10</v>
      </c>
      <c r="F107" s="35" t="s">
        <v>149</v>
      </c>
      <c r="G107" s="81" t="s">
        <v>161</v>
      </c>
      <c r="H107" s="81"/>
      <c r="I107" s="81"/>
      <c r="J107" s="81" t="s">
        <v>584</v>
      </c>
      <c r="K107" s="37"/>
      <c r="L107" s="37"/>
      <c r="M107" s="37"/>
    </row>
    <row r="108" spans="1:13" s="31" customFormat="1" ht="54">
      <c r="A108" s="67" t="s">
        <v>446</v>
      </c>
      <c r="B108" s="68" t="s">
        <v>425</v>
      </c>
      <c r="C108" s="68" t="s">
        <v>438</v>
      </c>
      <c r="D108" s="63" t="s">
        <v>554</v>
      </c>
      <c r="E108" s="79">
        <v>10</v>
      </c>
      <c r="F108" s="35" t="s">
        <v>149</v>
      </c>
      <c r="G108" s="81" t="s">
        <v>161</v>
      </c>
      <c r="H108" s="81"/>
      <c r="I108" s="81"/>
      <c r="J108" s="81" t="s">
        <v>584</v>
      </c>
      <c r="K108" s="37"/>
      <c r="L108" s="37"/>
      <c r="M108" s="37"/>
    </row>
    <row r="109" spans="1:13" s="31" customFormat="1" ht="54">
      <c r="A109" s="67" t="s">
        <v>447</v>
      </c>
      <c r="B109" s="68" t="s">
        <v>448</v>
      </c>
      <c r="C109" s="68" t="s">
        <v>449</v>
      </c>
      <c r="D109" s="63" t="s">
        <v>555</v>
      </c>
      <c r="E109" s="79">
        <v>3</v>
      </c>
      <c r="F109" s="35" t="s">
        <v>149</v>
      </c>
      <c r="G109" s="81" t="s">
        <v>161</v>
      </c>
      <c r="H109" s="81"/>
      <c r="I109" s="81"/>
      <c r="J109" s="81" t="s">
        <v>591</v>
      </c>
      <c r="K109" s="37"/>
      <c r="L109" s="37"/>
      <c r="M109" s="37"/>
    </row>
    <row r="110" spans="1:13" s="31" customFormat="1" ht="54">
      <c r="A110" s="70" t="s">
        <v>450</v>
      </c>
      <c r="B110" s="71" t="s">
        <v>448</v>
      </c>
      <c r="C110" s="71" t="s">
        <v>451</v>
      </c>
      <c r="D110" s="63" t="s">
        <v>555</v>
      </c>
      <c r="E110" s="79">
        <v>2</v>
      </c>
      <c r="F110" s="35" t="s">
        <v>149</v>
      </c>
      <c r="G110" s="81" t="s">
        <v>161</v>
      </c>
      <c r="H110" s="81"/>
      <c r="I110" s="81"/>
      <c r="J110" s="81" t="s">
        <v>591</v>
      </c>
      <c r="K110" s="37"/>
      <c r="L110" s="37"/>
      <c r="M110" s="37"/>
    </row>
    <row r="111" spans="1:13" s="31" customFormat="1" ht="54">
      <c r="A111" s="67" t="s">
        <v>452</v>
      </c>
      <c r="B111" s="68" t="s">
        <v>448</v>
      </c>
      <c r="C111" s="68" t="s">
        <v>453</v>
      </c>
      <c r="D111" s="63" t="s">
        <v>555</v>
      </c>
      <c r="E111" s="79">
        <v>15</v>
      </c>
      <c r="F111" s="35" t="s">
        <v>149</v>
      </c>
      <c r="G111" s="81" t="s">
        <v>562</v>
      </c>
      <c r="H111" s="81" t="s">
        <v>564</v>
      </c>
      <c r="I111" s="81" t="s">
        <v>563</v>
      </c>
      <c r="J111" s="81" t="s">
        <v>578</v>
      </c>
      <c r="K111" s="37"/>
      <c r="L111" s="37"/>
      <c r="M111" s="37"/>
    </row>
    <row r="112" spans="1:13" s="31" customFormat="1" ht="54">
      <c r="A112" s="67" t="s">
        <v>454</v>
      </c>
      <c r="B112" s="68" t="s">
        <v>448</v>
      </c>
      <c r="C112" s="68" t="s">
        <v>455</v>
      </c>
      <c r="D112" s="63" t="s">
        <v>555</v>
      </c>
      <c r="E112" s="79">
        <v>15</v>
      </c>
      <c r="F112" s="35" t="s">
        <v>149</v>
      </c>
      <c r="G112" s="81" t="s">
        <v>562</v>
      </c>
      <c r="H112" s="81" t="s">
        <v>564</v>
      </c>
      <c r="I112" s="81" t="s">
        <v>563</v>
      </c>
      <c r="J112" s="81" t="s">
        <v>578</v>
      </c>
      <c r="K112" s="37"/>
      <c r="L112" s="37"/>
      <c r="M112" s="37"/>
    </row>
    <row r="113" spans="1:13" s="31" customFormat="1" ht="40.5">
      <c r="A113" s="67" t="s">
        <v>296</v>
      </c>
      <c r="B113" s="68" t="s">
        <v>315</v>
      </c>
      <c r="C113" s="68" t="s">
        <v>294</v>
      </c>
      <c r="D113" s="63" t="s">
        <v>299</v>
      </c>
      <c r="E113" s="79">
        <v>40</v>
      </c>
      <c r="F113" s="35" t="s">
        <v>149</v>
      </c>
      <c r="G113" s="81" t="s">
        <v>161</v>
      </c>
      <c r="H113" s="81"/>
      <c r="I113" s="81"/>
      <c r="J113" s="81" t="s">
        <v>570</v>
      </c>
      <c r="K113" s="37"/>
      <c r="L113" s="37"/>
      <c r="M113" s="37"/>
    </row>
    <row r="114" spans="1:13" s="31" customFormat="1" ht="40.5">
      <c r="A114" s="67" t="s">
        <v>456</v>
      </c>
      <c r="B114" s="68" t="s">
        <v>315</v>
      </c>
      <c r="C114" s="68" t="s">
        <v>294</v>
      </c>
      <c r="D114" s="63" t="s">
        <v>299</v>
      </c>
      <c r="E114" s="79">
        <v>35</v>
      </c>
      <c r="F114" s="35" t="s">
        <v>149</v>
      </c>
      <c r="G114" s="81" t="s">
        <v>161</v>
      </c>
      <c r="H114" s="81"/>
      <c r="I114" s="81"/>
      <c r="J114" s="81" t="s">
        <v>571</v>
      </c>
      <c r="K114" s="37"/>
      <c r="L114" s="37"/>
      <c r="M114" s="37"/>
    </row>
    <row r="115" spans="1:13" s="31" customFormat="1" ht="40.5">
      <c r="A115" s="67" t="s">
        <v>457</v>
      </c>
      <c r="B115" s="68" t="s">
        <v>315</v>
      </c>
      <c r="C115" s="68" t="s">
        <v>458</v>
      </c>
      <c r="D115" s="63" t="s">
        <v>299</v>
      </c>
      <c r="E115" s="79">
        <v>2</v>
      </c>
      <c r="F115" s="35" t="s">
        <v>149</v>
      </c>
      <c r="G115" s="81" t="s">
        <v>161</v>
      </c>
      <c r="H115" s="81"/>
      <c r="I115" s="81"/>
      <c r="J115" s="81" t="s">
        <v>595</v>
      </c>
      <c r="K115" s="37"/>
      <c r="L115" s="37"/>
      <c r="M115" s="37"/>
    </row>
    <row r="116" spans="1:13" s="31" customFormat="1" ht="40.5">
      <c r="A116" s="67" t="s">
        <v>459</v>
      </c>
      <c r="B116" s="68" t="s">
        <v>315</v>
      </c>
      <c r="C116" s="68" t="s">
        <v>458</v>
      </c>
      <c r="D116" s="63" t="s">
        <v>299</v>
      </c>
      <c r="E116" s="79">
        <v>2</v>
      </c>
      <c r="F116" s="35" t="s">
        <v>149</v>
      </c>
      <c r="G116" s="81" t="s">
        <v>161</v>
      </c>
      <c r="H116" s="81"/>
      <c r="I116" s="81"/>
      <c r="J116" s="81" t="s">
        <v>595</v>
      </c>
      <c r="K116" s="37"/>
      <c r="L116" s="37"/>
      <c r="M116" s="37"/>
    </row>
    <row r="117" spans="1:13" s="31" customFormat="1" ht="40.5">
      <c r="A117" s="67" t="s">
        <v>460</v>
      </c>
      <c r="B117" s="68" t="s">
        <v>315</v>
      </c>
      <c r="C117" s="68" t="s">
        <v>38</v>
      </c>
      <c r="D117" s="63" t="s">
        <v>299</v>
      </c>
      <c r="E117" s="79">
        <v>2</v>
      </c>
      <c r="F117" s="35" t="s">
        <v>149</v>
      </c>
      <c r="G117" s="81" t="s">
        <v>161</v>
      </c>
      <c r="H117" s="81"/>
      <c r="I117" s="81"/>
      <c r="J117" s="81" t="s">
        <v>596</v>
      </c>
      <c r="K117" s="37"/>
      <c r="L117" s="37"/>
      <c r="M117" s="37"/>
    </row>
    <row r="118" spans="1:13" s="31" customFormat="1" ht="40.5">
      <c r="A118" s="67" t="s">
        <v>461</v>
      </c>
      <c r="B118" s="68" t="s">
        <v>315</v>
      </c>
      <c r="C118" s="68" t="s">
        <v>294</v>
      </c>
      <c r="D118" s="63" t="s">
        <v>299</v>
      </c>
      <c r="E118" s="79">
        <v>2</v>
      </c>
      <c r="F118" s="35" t="s">
        <v>149</v>
      </c>
      <c r="G118" s="81" t="s">
        <v>161</v>
      </c>
      <c r="H118" s="81"/>
      <c r="I118" s="81"/>
      <c r="J118" s="81" t="s">
        <v>597</v>
      </c>
      <c r="K118" s="37"/>
      <c r="L118" s="37"/>
      <c r="M118" s="37"/>
    </row>
    <row r="119" spans="1:13" s="31" customFormat="1" ht="40.5">
      <c r="A119" s="67" t="s">
        <v>462</v>
      </c>
      <c r="B119" s="68" t="s">
        <v>315</v>
      </c>
      <c r="C119" s="68" t="s">
        <v>294</v>
      </c>
      <c r="D119" s="63" t="s">
        <v>299</v>
      </c>
      <c r="E119" s="79">
        <v>2</v>
      </c>
      <c r="F119" s="35" t="s">
        <v>149</v>
      </c>
      <c r="G119" s="81" t="s">
        <v>161</v>
      </c>
      <c r="H119" s="81"/>
      <c r="I119" s="81"/>
      <c r="J119" s="81" t="s">
        <v>587</v>
      </c>
      <c r="K119" s="37"/>
      <c r="L119" s="37"/>
      <c r="M119" s="37"/>
    </row>
    <row r="120" spans="1:13" s="31" customFormat="1" ht="40.5">
      <c r="A120" s="67" t="s">
        <v>463</v>
      </c>
      <c r="B120" s="68" t="s">
        <v>315</v>
      </c>
      <c r="C120" s="68" t="s">
        <v>294</v>
      </c>
      <c r="D120" s="63" t="s">
        <v>299</v>
      </c>
      <c r="E120" s="79">
        <v>1</v>
      </c>
      <c r="F120" s="35" t="s">
        <v>149</v>
      </c>
      <c r="G120" s="81" t="s">
        <v>161</v>
      </c>
      <c r="H120" s="81"/>
      <c r="I120" s="81"/>
      <c r="J120" s="81" t="s">
        <v>587</v>
      </c>
      <c r="K120" s="37"/>
      <c r="L120" s="37"/>
      <c r="M120" s="37"/>
    </row>
    <row r="121" spans="1:13" s="31" customFormat="1" ht="40.5">
      <c r="A121" s="67" t="s">
        <v>464</v>
      </c>
      <c r="B121" s="68" t="s">
        <v>315</v>
      </c>
      <c r="C121" s="68" t="s">
        <v>294</v>
      </c>
      <c r="D121" s="63" t="s">
        <v>299</v>
      </c>
      <c r="E121" s="79">
        <v>6</v>
      </c>
      <c r="F121" s="35" t="s">
        <v>149</v>
      </c>
      <c r="G121" s="81" t="s">
        <v>161</v>
      </c>
      <c r="H121" s="81"/>
      <c r="I121" s="81"/>
      <c r="J121" s="81" t="s">
        <v>579</v>
      </c>
      <c r="K121" s="37"/>
      <c r="L121" s="37"/>
      <c r="M121" s="37"/>
    </row>
    <row r="122" spans="1:13" s="31" customFormat="1" ht="40.5">
      <c r="A122" s="67" t="s">
        <v>465</v>
      </c>
      <c r="B122" s="68" t="s">
        <v>315</v>
      </c>
      <c r="C122" s="68" t="s">
        <v>294</v>
      </c>
      <c r="D122" s="63" t="s">
        <v>299</v>
      </c>
      <c r="E122" s="79">
        <v>6</v>
      </c>
      <c r="F122" s="35" t="s">
        <v>149</v>
      </c>
      <c r="G122" s="81" t="s">
        <v>161</v>
      </c>
      <c r="H122" s="81"/>
      <c r="I122" s="81"/>
      <c r="J122" s="81" t="s">
        <v>579</v>
      </c>
      <c r="K122" s="37"/>
      <c r="L122" s="37"/>
      <c r="M122" s="37"/>
    </row>
    <row r="123" spans="1:13" s="31" customFormat="1" ht="40.5">
      <c r="A123" s="67" t="s">
        <v>466</v>
      </c>
      <c r="B123" s="68" t="s">
        <v>315</v>
      </c>
      <c r="C123" s="68" t="s">
        <v>294</v>
      </c>
      <c r="D123" s="63" t="s">
        <v>299</v>
      </c>
      <c r="E123" s="79">
        <v>6</v>
      </c>
      <c r="F123" s="35" t="s">
        <v>149</v>
      </c>
      <c r="G123" s="81" t="s">
        <v>161</v>
      </c>
      <c r="H123" s="81"/>
      <c r="I123" s="81"/>
      <c r="J123" s="81" t="s">
        <v>579</v>
      </c>
      <c r="K123" s="37"/>
      <c r="L123" s="37"/>
      <c r="M123" s="37"/>
    </row>
    <row r="124" spans="1:13" s="31" customFormat="1" ht="40.5">
      <c r="A124" s="67" t="s">
        <v>467</v>
      </c>
      <c r="B124" s="68" t="s">
        <v>315</v>
      </c>
      <c r="C124" s="68" t="s">
        <v>294</v>
      </c>
      <c r="D124" s="63" t="s">
        <v>299</v>
      </c>
      <c r="E124" s="79">
        <v>6</v>
      </c>
      <c r="F124" s="35" t="s">
        <v>149</v>
      </c>
      <c r="G124" s="81" t="s">
        <v>161</v>
      </c>
      <c r="H124" s="81"/>
      <c r="I124" s="81"/>
      <c r="J124" s="81" t="s">
        <v>579</v>
      </c>
      <c r="K124" s="37"/>
      <c r="L124" s="37"/>
      <c r="M124" s="37"/>
    </row>
    <row r="125" spans="1:13" s="31" customFormat="1" ht="40.5">
      <c r="A125" s="67" t="s">
        <v>468</v>
      </c>
      <c r="B125" s="68" t="s">
        <v>315</v>
      </c>
      <c r="C125" s="68" t="s">
        <v>294</v>
      </c>
      <c r="D125" s="63" t="s">
        <v>299</v>
      </c>
      <c r="E125" s="79">
        <v>6</v>
      </c>
      <c r="F125" s="35" t="s">
        <v>149</v>
      </c>
      <c r="G125" s="81" t="s">
        <v>161</v>
      </c>
      <c r="H125" s="81"/>
      <c r="I125" s="81"/>
      <c r="J125" s="81" t="s">
        <v>579</v>
      </c>
      <c r="K125" s="37"/>
      <c r="L125" s="37"/>
      <c r="M125" s="37"/>
    </row>
    <row r="126" spans="1:13" s="31" customFormat="1" ht="54">
      <c r="A126" s="67" t="s">
        <v>469</v>
      </c>
      <c r="B126" s="68" t="s">
        <v>318</v>
      </c>
      <c r="C126" s="68" t="s">
        <v>319</v>
      </c>
      <c r="D126" s="63" t="s">
        <v>547</v>
      </c>
      <c r="E126" s="79">
        <v>5</v>
      </c>
      <c r="F126" s="35" t="s">
        <v>149</v>
      </c>
      <c r="G126" s="81" t="s">
        <v>161</v>
      </c>
      <c r="H126" s="81"/>
      <c r="I126" s="81"/>
      <c r="J126" s="81" t="s">
        <v>598</v>
      </c>
      <c r="K126" s="37"/>
      <c r="L126" s="37"/>
      <c r="M126" s="37"/>
    </row>
    <row r="127" spans="1:13" s="31" customFormat="1" ht="40.5">
      <c r="A127" s="67" t="s">
        <v>470</v>
      </c>
      <c r="B127" s="68" t="s">
        <v>471</v>
      </c>
      <c r="C127" s="68" t="s">
        <v>472</v>
      </c>
      <c r="D127" s="63" t="s">
        <v>556</v>
      </c>
      <c r="E127" s="79">
        <v>20</v>
      </c>
      <c r="F127" s="35" t="s">
        <v>149</v>
      </c>
      <c r="G127" s="81" t="s">
        <v>161</v>
      </c>
      <c r="H127" s="81"/>
      <c r="I127" s="81"/>
      <c r="J127" s="81" t="s">
        <v>579</v>
      </c>
      <c r="K127" s="37"/>
      <c r="L127" s="37"/>
      <c r="M127" s="37"/>
    </row>
    <row r="128" spans="1:13" s="31" customFormat="1" ht="40.5">
      <c r="A128" s="67" t="s">
        <v>473</v>
      </c>
      <c r="B128" s="68" t="s">
        <v>471</v>
      </c>
      <c r="C128" s="68" t="s">
        <v>474</v>
      </c>
      <c r="D128" s="63" t="s">
        <v>556</v>
      </c>
      <c r="E128" s="79">
        <v>20</v>
      </c>
      <c r="F128" s="35" t="s">
        <v>149</v>
      </c>
      <c r="G128" s="81" t="s">
        <v>161</v>
      </c>
      <c r="H128" s="81"/>
      <c r="I128" s="81"/>
      <c r="J128" s="81" t="s">
        <v>579</v>
      </c>
      <c r="K128" s="37"/>
      <c r="L128" s="37"/>
      <c r="M128" s="37"/>
    </row>
    <row r="129" spans="1:13" s="31" customFormat="1" ht="54">
      <c r="A129" s="67" t="s">
        <v>475</v>
      </c>
      <c r="B129" s="68" t="s">
        <v>476</v>
      </c>
      <c r="C129" s="68" t="s">
        <v>477</v>
      </c>
      <c r="D129" s="63" t="s">
        <v>557</v>
      </c>
      <c r="E129" s="79">
        <v>5</v>
      </c>
      <c r="F129" s="35" t="s">
        <v>149</v>
      </c>
      <c r="G129" s="81" t="s">
        <v>161</v>
      </c>
      <c r="H129" s="81"/>
      <c r="I129" s="81"/>
      <c r="J129" s="81" t="s">
        <v>570</v>
      </c>
      <c r="K129" s="37"/>
      <c r="L129" s="37"/>
      <c r="M129" s="37"/>
    </row>
    <row r="130" spans="1:13" s="31" customFormat="1" ht="54">
      <c r="A130" s="67" t="s">
        <v>478</v>
      </c>
      <c r="B130" s="68" t="s">
        <v>476</v>
      </c>
      <c r="C130" s="68" t="s">
        <v>479</v>
      </c>
      <c r="D130" s="63" t="s">
        <v>557</v>
      </c>
      <c r="E130" s="79">
        <v>10</v>
      </c>
      <c r="F130" s="35" t="s">
        <v>149</v>
      </c>
      <c r="G130" s="81" t="s">
        <v>161</v>
      </c>
      <c r="H130" s="81"/>
      <c r="I130" s="81"/>
      <c r="J130" s="81" t="s">
        <v>584</v>
      </c>
      <c r="K130" s="37"/>
      <c r="L130" s="37"/>
      <c r="M130" s="37"/>
    </row>
    <row r="131" spans="1:13" s="31" customFormat="1" ht="54">
      <c r="A131" s="67" t="s">
        <v>480</v>
      </c>
      <c r="B131" s="68" t="s">
        <v>481</v>
      </c>
      <c r="C131" s="68" t="s">
        <v>319</v>
      </c>
      <c r="D131" s="63" t="s">
        <v>558</v>
      </c>
      <c r="E131" s="79">
        <v>2</v>
      </c>
      <c r="F131" s="35" t="s">
        <v>149</v>
      </c>
      <c r="G131" s="81" t="s">
        <v>161</v>
      </c>
      <c r="H131" s="81"/>
      <c r="I131" s="81"/>
      <c r="J131" s="81" t="s">
        <v>588</v>
      </c>
      <c r="K131" s="37"/>
      <c r="L131" s="37"/>
      <c r="M131" s="37"/>
    </row>
    <row r="132" spans="1:13" s="31" customFormat="1" ht="54">
      <c r="A132" s="67" t="s">
        <v>482</v>
      </c>
      <c r="B132" s="68" t="s">
        <v>481</v>
      </c>
      <c r="C132" s="68" t="s">
        <v>483</v>
      </c>
      <c r="D132" s="63" t="s">
        <v>558</v>
      </c>
      <c r="E132" s="79">
        <v>7</v>
      </c>
      <c r="F132" s="35" t="s">
        <v>149</v>
      </c>
      <c r="G132" s="81" t="s">
        <v>562</v>
      </c>
      <c r="H132" s="81" t="s">
        <v>566</v>
      </c>
      <c r="I132" s="81" t="s">
        <v>565</v>
      </c>
      <c r="J132" s="81" t="s">
        <v>571</v>
      </c>
      <c r="K132" s="37"/>
      <c r="L132" s="37"/>
      <c r="M132" s="37"/>
    </row>
    <row r="133" spans="1:13" s="31" customFormat="1" ht="54">
      <c r="A133" s="67" t="s">
        <v>484</v>
      </c>
      <c r="B133" s="68" t="s">
        <v>481</v>
      </c>
      <c r="C133" s="68" t="s">
        <v>319</v>
      </c>
      <c r="D133" s="63" t="s">
        <v>558</v>
      </c>
      <c r="E133" s="79">
        <v>2</v>
      </c>
      <c r="F133" s="35" t="s">
        <v>149</v>
      </c>
      <c r="G133" s="81" t="s">
        <v>161</v>
      </c>
      <c r="H133" s="81"/>
      <c r="I133" s="81"/>
      <c r="J133" s="81" t="s">
        <v>599</v>
      </c>
      <c r="K133" s="37"/>
      <c r="L133" s="37"/>
      <c r="M133" s="37"/>
    </row>
    <row r="134" spans="1:13" s="31" customFormat="1" ht="54">
      <c r="A134" s="67" t="s">
        <v>485</v>
      </c>
      <c r="B134" s="68" t="s">
        <v>481</v>
      </c>
      <c r="C134" s="68" t="s">
        <v>486</v>
      </c>
      <c r="D134" s="63" t="s">
        <v>558</v>
      </c>
      <c r="E134" s="79">
        <v>19</v>
      </c>
      <c r="F134" s="35" t="s">
        <v>149</v>
      </c>
      <c r="G134" s="81" t="s">
        <v>562</v>
      </c>
      <c r="H134" s="81" t="s">
        <v>568</v>
      </c>
      <c r="I134" s="81" t="s">
        <v>567</v>
      </c>
      <c r="J134" s="81" t="s">
        <v>600</v>
      </c>
      <c r="K134" s="37"/>
      <c r="L134" s="37"/>
      <c r="M134" s="37"/>
    </row>
    <row r="135" spans="1:13" s="31" customFormat="1" ht="40.5">
      <c r="A135" s="67" t="s">
        <v>487</v>
      </c>
      <c r="B135" s="68" t="s">
        <v>488</v>
      </c>
      <c r="C135" s="68" t="s">
        <v>42</v>
      </c>
      <c r="D135" s="63" t="s">
        <v>301</v>
      </c>
      <c r="E135" s="79">
        <v>30</v>
      </c>
      <c r="F135" s="35" t="s">
        <v>149</v>
      </c>
      <c r="G135" s="81" t="s">
        <v>161</v>
      </c>
      <c r="H135" s="81"/>
      <c r="I135" s="81"/>
      <c r="J135" s="81" t="s">
        <v>571</v>
      </c>
      <c r="K135" s="37"/>
      <c r="L135" s="37"/>
      <c r="M135" s="37"/>
    </row>
    <row r="136" spans="1:13" s="31" customFormat="1" ht="38.25">
      <c r="A136" s="66" t="s">
        <v>489</v>
      </c>
      <c r="B136" s="66" t="s">
        <v>488</v>
      </c>
      <c r="C136" s="66" t="s">
        <v>490</v>
      </c>
      <c r="D136" s="63" t="s">
        <v>301</v>
      </c>
      <c r="E136" s="79">
        <v>4</v>
      </c>
      <c r="F136" s="35" t="s">
        <v>149</v>
      </c>
      <c r="G136" s="81" t="s">
        <v>161</v>
      </c>
      <c r="H136" s="81"/>
      <c r="I136" s="81"/>
      <c r="J136" s="81" t="s">
        <v>601</v>
      </c>
      <c r="K136" s="37"/>
      <c r="L136" s="37"/>
      <c r="M136" s="37"/>
    </row>
    <row r="137" spans="1:13" s="31" customFormat="1" ht="40.5">
      <c r="A137" s="67" t="s">
        <v>491</v>
      </c>
      <c r="B137" s="68" t="s">
        <v>488</v>
      </c>
      <c r="C137" s="68" t="s">
        <v>492</v>
      </c>
      <c r="D137" s="63" t="s">
        <v>301</v>
      </c>
      <c r="E137" s="79">
        <v>11</v>
      </c>
      <c r="F137" s="35" t="s">
        <v>149</v>
      </c>
      <c r="G137" s="81" t="s">
        <v>161</v>
      </c>
      <c r="H137" s="81"/>
      <c r="I137" s="81"/>
      <c r="J137" s="81" t="s">
        <v>602</v>
      </c>
      <c r="K137" s="37"/>
      <c r="L137" s="37"/>
      <c r="M137" s="37"/>
    </row>
    <row r="138" spans="1:13" s="31" customFormat="1" ht="40.5">
      <c r="A138" s="67" t="s">
        <v>493</v>
      </c>
      <c r="B138" s="68" t="s">
        <v>488</v>
      </c>
      <c r="C138" s="68" t="s">
        <v>48</v>
      </c>
      <c r="D138" s="63" t="s">
        <v>301</v>
      </c>
      <c r="E138" s="79">
        <v>15</v>
      </c>
      <c r="F138" s="35" t="s">
        <v>149</v>
      </c>
      <c r="G138" s="81" t="s">
        <v>161</v>
      </c>
      <c r="H138" s="81"/>
      <c r="I138" s="81"/>
      <c r="J138" s="81" t="s">
        <v>602</v>
      </c>
      <c r="K138" s="37"/>
      <c r="L138" s="37"/>
      <c r="M138" s="37"/>
    </row>
    <row r="139" spans="1:13" s="31" customFormat="1" ht="40.5">
      <c r="A139" s="67" t="s">
        <v>494</v>
      </c>
      <c r="B139" s="68" t="s">
        <v>488</v>
      </c>
      <c r="C139" s="68" t="s">
        <v>495</v>
      </c>
      <c r="D139" s="63" t="s">
        <v>301</v>
      </c>
      <c r="E139" s="79">
        <v>2</v>
      </c>
      <c r="F139" s="35" t="s">
        <v>149</v>
      </c>
      <c r="G139" s="81" t="s">
        <v>161</v>
      </c>
      <c r="H139" s="81"/>
      <c r="I139" s="81"/>
      <c r="J139" s="81" t="s">
        <v>602</v>
      </c>
      <c r="K139" s="37"/>
      <c r="L139" s="37"/>
      <c r="M139" s="37"/>
    </row>
    <row r="140" spans="1:13" s="31" customFormat="1" ht="40.5">
      <c r="A140" s="67" t="s">
        <v>496</v>
      </c>
      <c r="B140" s="68" t="s">
        <v>488</v>
      </c>
      <c r="C140" s="68" t="s">
        <v>497</v>
      </c>
      <c r="D140" s="63" t="s">
        <v>301</v>
      </c>
      <c r="E140" s="79">
        <v>2</v>
      </c>
      <c r="F140" s="35" t="s">
        <v>149</v>
      </c>
      <c r="G140" s="81" t="s">
        <v>161</v>
      </c>
      <c r="H140" s="81"/>
      <c r="I140" s="81"/>
      <c r="J140" s="81" t="s">
        <v>602</v>
      </c>
      <c r="K140" s="37"/>
      <c r="L140" s="37"/>
      <c r="M140" s="37"/>
    </row>
    <row r="141" spans="1:13" s="31" customFormat="1" ht="40.5">
      <c r="A141" s="67" t="s">
        <v>498</v>
      </c>
      <c r="B141" s="68" t="s">
        <v>488</v>
      </c>
      <c r="C141" s="68" t="s">
        <v>495</v>
      </c>
      <c r="D141" s="63" t="s">
        <v>301</v>
      </c>
      <c r="E141" s="79">
        <v>2</v>
      </c>
      <c r="F141" s="35" t="s">
        <v>149</v>
      </c>
      <c r="G141" s="81" t="s">
        <v>161</v>
      </c>
      <c r="H141" s="81"/>
      <c r="I141" s="81"/>
      <c r="J141" s="81" t="s">
        <v>602</v>
      </c>
      <c r="K141" s="37"/>
      <c r="L141" s="37"/>
      <c r="M141" s="37"/>
    </row>
    <row r="142" spans="1:13" s="31" customFormat="1" ht="40.5">
      <c r="A142" s="67" t="s">
        <v>499</v>
      </c>
      <c r="B142" s="68" t="s">
        <v>488</v>
      </c>
      <c r="C142" s="68" t="s">
        <v>497</v>
      </c>
      <c r="D142" s="63" t="s">
        <v>301</v>
      </c>
      <c r="E142" s="79">
        <v>2</v>
      </c>
      <c r="F142" s="35" t="s">
        <v>149</v>
      </c>
      <c r="G142" s="81" t="s">
        <v>161</v>
      </c>
      <c r="H142" s="81"/>
      <c r="I142" s="81"/>
      <c r="J142" s="81" t="s">
        <v>602</v>
      </c>
      <c r="K142" s="37"/>
      <c r="L142" s="37"/>
      <c r="M142" s="37"/>
    </row>
    <row r="143" spans="1:13" s="31" customFormat="1" ht="38.25">
      <c r="A143" s="66" t="s">
        <v>298</v>
      </c>
      <c r="B143" s="66" t="s">
        <v>488</v>
      </c>
      <c r="C143" s="66" t="s">
        <v>48</v>
      </c>
      <c r="D143" s="63" t="s">
        <v>301</v>
      </c>
      <c r="E143" s="79">
        <v>5</v>
      </c>
      <c r="F143" s="35" t="s">
        <v>149</v>
      </c>
      <c r="G143" s="81" t="s">
        <v>161</v>
      </c>
      <c r="H143" s="81"/>
      <c r="I143" s="81"/>
      <c r="J143" s="81" t="s">
        <v>603</v>
      </c>
      <c r="K143" s="37"/>
      <c r="L143" s="37"/>
      <c r="M143" s="37"/>
    </row>
    <row r="144" spans="1:13" s="31" customFormat="1" ht="40.5">
      <c r="A144" s="67" t="s">
        <v>500</v>
      </c>
      <c r="B144" s="68" t="s">
        <v>488</v>
      </c>
      <c r="C144" s="68" t="s">
        <v>42</v>
      </c>
      <c r="D144" s="63" t="s">
        <v>301</v>
      </c>
      <c r="E144" s="79">
        <v>40</v>
      </c>
      <c r="F144" s="35" t="s">
        <v>149</v>
      </c>
      <c r="G144" s="81" t="s">
        <v>161</v>
      </c>
      <c r="H144" s="81"/>
      <c r="I144" s="81"/>
      <c r="J144" s="81" t="s">
        <v>572</v>
      </c>
      <c r="K144" s="37"/>
      <c r="L144" s="37"/>
      <c r="M144" s="37"/>
    </row>
    <row r="145" spans="1:13" s="31" customFormat="1" ht="40.5">
      <c r="A145" s="67" t="s">
        <v>501</v>
      </c>
      <c r="B145" s="68" t="s">
        <v>488</v>
      </c>
      <c r="C145" s="68" t="s">
        <v>502</v>
      </c>
      <c r="D145" s="63" t="s">
        <v>301</v>
      </c>
      <c r="E145" s="79">
        <v>10</v>
      </c>
      <c r="F145" s="35" t="s">
        <v>149</v>
      </c>
      <c r="G145" s="81" t="s">
        <v>161</v>
      </c>
      <c r="H145" s="81"/>
      <c r="I145" s="81"/>
      <c r="J145" s="81" t="s">
        <v>579</v>
      </c>
      <c r="K145" s="37"/>
      <c r="L145" s="37"/>
      <c r="M145" s="37"/>
    </row>
    <row r="146" spans="1:13" s="31" customFormat="1" ht="54">
      <c r="A146" s="67" t="s">
        <v>503</v>
      </c>
      <c r="B146" s="68" t="s">
        <v>302</v>
      </c>
      <c r="C146" s="68" t="s">
        <v>303</v>
      </c>
      <c r="D146" s="63" t="s">
        <v>300</v>
      </c>
      <c r="E146" s="79">
        <v>3</v>
      </c>
      <c r="F146" s="35" t="s">
        <v>149</v>
      </c>
      <c r="G146" s="81" t="s">
        <v>161</v>
      </c>
      <c r="H146" s="81"/>
      <c r="I146" s="81"/>
      <c r="J146" s="81" t="s">
        <v>571</v>
      </c>
      <c r="K146" s="37"/>
      <c r="L146" s="37"/>
      <c r="M146" s="37"/>
    </row>
    <row r="147" spans="1:13" s="31" customFormat="1" ht="54">
      <c r="A147" s="67" t="s">
        <v>503</v>
      </c>
      <c r="B147" s="68" t="s">
        <v>302</v>
      </c>
      <c r="C147" s="68" t="s">
        <v>303</v>
      </c>
      <c r="D147" s="63" t="s">
        <v>300</v>
      </c>
      <c r="E147" s="79">
        <v>5</v>
      </c>
      <c r="F147" s="35" t="s">
        <v>149</v>
      </c>
      <c r="G147" s="81" t="s">
        <v>161</v>
      </c>
      <c r="H147" s="81"/>
      <c r="I147" s="81"/>
      <c r="J147" s="81" t="s">
        <v>582</v>
      </c>
      <c r="K147" s="37"/>
      <c r="L147" s="37"/>
      <c r="M147" s="37"/>
    </row>
    <row r="148" spans="1:13" s="31" customFormat="1">
      <c r="A148" s="65" t="s">
        <v>504</v>
      </c>
      <c r="B148" s="37" t="s">
        <v>302</v>
      </c>
      <c r="C148" s="74" t="s">
        <v>297</v>
      </c>
      <c r="D148" s="65" t="s">
        <v>300</v>
      </c>
      <c r="E148" s="79">
        <v>17</v>
      </c>
      <c r="F148" s="35" t="s">
        <v>149</v>
      </c>
      <c r="G148" s="81" t="s">
        <v>161</v>
      </c>
      <c r="H148" s="81"/>
      <c r="I148" s="81"/>
      <c r="J148" s="81" t="s">
        <v>582</v>
      </c>
      <c r="K148" s="37"/>
      <c r="L148" s="37"/>
      <c r="M148" s="37"/>
    </row>
    <row r="149" spans="1:13" s="31" customFormat="1">
      <c r="A149" s="65" t="s">
        <v>505</v>
      </c>
      <c r="B149" s="37" t="s">
        <v>302</v>
      </c>
      <c r="C149" s="74" t="s">
        <v>506</v>
      </c>
      <c r="D149" s="65" t="s">
        <v>300</v>
      </c>
      <c r="E149" s="79">
        <v>11</v>
      </c>
      <c r="F149" s="35" t="s">
        <v>149</v>
      </c>
      <c r="G149" s="81" t="s">
        <v>161</v>
      </c>
      <c r="H149" s="81"/>
      <c r="I149" s="81"/>
      <c r="J149" s="81" t="s">
        <v>582</v>
      </c>
      <c r="K149" s="37"/>
      <c r="L149" s="37"/>
      <c r="M149" s="37"/>
    </row>
    <row r="150" spans="1:13" s="31" customFormat="1">
      <c r="A150" s="65" t="s">
        <v>507</v>
      </c>
      <c r="B150" s="37" t="s">
        <v>302</v>
      </c>
      <c r="C150" s="74" t="s">
        <v>506</v>
      </c>
      <c r="D150" s="65" t="s">
        <v>300</v>
      </c>
      <c r="E150" s="79">
        <v>6</v>
      </c>
      <c r="F150" s="35" t="s">
        <v>149</v>
      </c>
      <c r="G150" s="81" t="s">
        <v>161</v>
      </c>
      <c r="H150" s="81"/>
      <c r="I150" s="81"/>
      <c r="J150" s="81" t="s">
        <v>582</v>
      </c>
      <c r="K150" s="37"/>
      <c r="L150" s="37"/>
      <c r="M150" s="37"/>
    </row>
    <row r="151" spans="1:13" s="31" customFormat="1">
      <c r="A151" s="65" t="s">
        <v>508</v>
      </c>
      <c r="B151" s="37" t="s">
        <v>302</v>
      </c>
      <c r="C151" s="74" t="s">
        <v>297</v>
      </c>
      <c r="D151" s="65" t="s">
        <v>300</v>
      </c>
      <c r="E151" s="79">
        <v>14</v>
      </c>
      <c r="F151" s="35" t="s">
        <v>149</v>
      </c>
      <c r="G151" s="81" t="s">
        <v>161</v>
      </c>
      <c r="H151" s="81"/>
      <c r="I151" s="81"/>
      <c r="J151" s="81" t="s">
        <v>582</v>
      </c>
      <c r="K151" s="37"/>
      <c r="L151" s="37"/>
      <c r="M151" s="37"/>
    </row>
    <row r="152" spans="1:13" s="31" customFormat="1">
      <c r="A152" s="65" t="s">
        <v>509</v>
      </c>
      <c r="B152" s="37" t="s">
        <v>302</v>
      </c>
      <c r="C152" s="74" t="s">
        <v>297</v>
      </c>
      <c r="D152" s="65" t="s">
        <v>300</v>
      </c>
      <c r="E152" s="79">
        <v>4</v>
      </c>
      <c r="F152" s="35" t="s">
        <v>149</v>
      </c>
      <c r="G152" s="81" t="s">
        <v>161</v>
      </c>
      <c r="H152" s="81"/>
      <c r="I152" s="81"/>
      <c r="J152" s="81" t="s">
        <v>582</v>
      </c>
      <c r="K152" s="37"/>
      <c r="L152" s="37"/>
      <c r="M152" s="37"/>
    </row>
    <row r="153" spans="1:13" s="31" customFormat="1">
      <c r="A153" s="65" t="s">
        <v>510</v>
      </c>
      <c r="B153" s="37" t="s">
        <v>302</v>
      </c>
      <c r="C153" s="74" t="s">
        <v>297</v>
      </c>
      <c r="D153" s="65" t="s">
        <v>300</v>
      </c>
      <c r="E153" s="79">
        <v>11</v>
      </c>
      <c r="F153" s="35" t="s">
        <v>149</v>
      </c>
      <c r="G153" s="81" t="s">
        <v>161</v>
      </c>
      <c r="H153" s="81"/>
      <c r="I153" s="81"/>
      <c r="J153" s="81" t="s">
        <v>582</v>
      </c>
      <c r="K153" s="37"/>
      <c r="L153" s="37"/>
      <c r="M153" s="37"/>
    </row>
    <row r="154" spans="1:13" s="31" customFormat="1">
      <c r="A154" s="65" t="s">
        <v>503</v>
      </c>
      <c r="B154" s="37" t="s">
        <v>302</v>
      </c>
      <c r="C154" s="74" t="s">
        <v>303</v>
      </c>
      <c r="D154" s="65" t="s">
        <v>300</v>
      </c>
      <c r="E154" s="79">
        <v>5</v>
      </c>
      <c r="F154" s="35" t="s">
        <v>149</v>
      </c>
      <c r="G154" s="81" t="s">
        <v>161</v>
      </c>
      <c r="H154" s="81"/>
      <c r="I154" s="81"/>
      <c r="J154" s="81" t="s">
        <v>575</v>
      </c>
      <c r="K154" s="37"/>
      <c r="L154" s="37"/>
      <c r="M154" s="37"/>
    </row>
    <row r="155" spans="1:13" s="31" customFormat="1">
      <c r="A155" s="65" t="s">
        <v>511</v>
      </c>
      <c r="B155" s="37" t="s">
        <v>302</v>
      </c>
      <c r="C155" s="74" t="s">
        <v>303</v>
      </c>
      <c r="D155" s="65" t="s">
        <v>300</v>
      </c>
      <c r="E155" s="79">
        <v>22</v>
      </c>
      <c r="F155" s="35" t="s">
        <v>149</v>
      </c>
      <c r="G155" s="81" t="s">
        <v>161</v>
      </c>
      <c r="H155" s="81"/>
      <c r="I155" s="81"/>
      <c r="J155" s="81" t="s">
        <v>569</v>
      </c>
      <c r="K155" s="37"/>
      <c r="L155" s="37"/>
      <c r="M155" s="37"/>
    </row>
    <row r="156" spans="1:13" s="31" customFormat="1">
      <c r="A156" s="65" t="s">
        <v>512</v>
      </c>
      <c r="B156" s="37" t="s">
        <v>302</v>
      </c>
      <c r="C156" s="74" t="s">
        <v>43</v>
      </c>
      <c r="D156" s="65" t="s">
        <v>300</v>
      </c>
      <c r="E156" s="79">
        <v>10</v>
      </c>
      <c r="F156" s="35" t="s">
        <v>149</v>
      </c>
      <c r="G156" s="81" t="s">
        <v>161</v>
      </c>
      <c r="H156" s="81"/>
      <c r="I156" s="81"/>
      <c r="J156" s="81" t="s">
        <v>569</v>
      </c>
      <c r="K156" s="37"/>
      <c r="L156" s="37"/>
      <c r="M156" s="37"/>
    </row>
    <row r="157" spans="1:13" s="31" customFormat="1">
      <c r="A157" s="65" t="s">
        <v>513</v>
      </c>
      <c r="B157" s="37" t="s">
        <v>302</v>
      </c>
      <c r="C157" s="74" t="s">
        <v>263</v>
      </c>
      <c r="D157" s="65" t="s">
        <v>300</v>
      </c>
      <c r="E157" s="79">
        <v>8</v>
      </c>
      <c r="F157" s="35" t="s">
        <v>149</v>
      </c>
      <c r="G157" s="81" t="s">
        <v>161</v>
      </c>
      <c r="H157" s="81"/>
      <c r="I157" s="81"/>
      <c r="J157" s="81" t="s">
        <v>569</v>
      </c>
      <c r="K157" s="37"/>
      <c r="L157" s="37"/>
      <c r="M157" s="37"/>
    </row>
    <row r="158" spans="1:13" s="31" customFormat="1">
      <c r="A158" s="65" t="s">
        <v>514</v>
      </c>
      <c r="B158" s="37" t="s">
        <v>302</v>
      </c>
      <c r="C158" s="74" t="s">
        <v>303</v>
      </c>
      <c r="D158" s="65" t="s">
        <v>300</v>
      </c>
      <c r="E158" s="79">
        <v>4</v>
      </c>
      <c r="F158" s="35" t="s">
        <v>149</v>
      </c>
      <c r="G158" s="81" t="s">
        <v>161</v>
      </c>
      <c r="H158" s="81"/>
      <c r="I158" s="81"/>
      <c r="J158" s="81" t="s">
        <v>602</v>
      </c>
      <c r="K158" s="37"/>
      <c r="L158" s="37"/>
      <c r="M158" s="37"/>
    </row>
    <row r="159" spans="1:13" s="31" customFormat="1">
      <c r="A159" s="65" t="s">
        <v>515</v>
      </c>
      <c r="B159" s="37" t="s">
        <v>302</v>
      </c>
      <c r="C159" s="74" t="s">
        <v>303</v>
      </c>
      <c r="D159" s="65" t="s">
        <v>300</v>
      </c>
      <c r="E159" s="79">
        <v>8</v>
      </c>
      <c r="F159" s="35" t="s">
        <v>149</v>
      </c>
      <c r="G159" s="81" t="s">
        <v>161</v>
      </c>
      <c r="H159" s="81"/>
      <c r="I159" s="81"/>
      <c r="J159" s="81" t="s">
        <v>602</v>
      </c>
      <c r="K159" s="37"/>
      <c r="L159" s="37"/>
      <c r="M159" s="37"/>
    </row>
    <row r="160" spans="1:13" s="31" customFormat="1">
      <c r="A160" s="65" t="s">
        <v>516</v>
      </c>
      <c r="B160" s="37" t="s">
        <v>302</v>
      </c>
      <c r="C160" s="74" t="s">
        <v>303</v>
      </c>
      <c r="D160" s="65" t="s">
        <v>300</v>
      </c>
      <c r="E160" s="79">
        <v>20</v>
      </c>
      <c r="F160" s="35" t="s">
        <v>149</v>
      </c>
      <c r="G160" s="81" t="s">
        <v>161</v>
      </c>
      <c r="H160" s="81"/>
      <c r="I160" s="81"/>
      <c r="J160" s="81" t="s">
        <v>602</v>
      </c>
      <c r="K160" s="37"/>
      <c r="L160" s="37"/>
      <c r="M160" s="37"/>
    </row>
    <row r="161" spans="1:13" s="31" customFormat="1">
      <c r="A161" s="65" t="s">
        <v>517</v>
      </c>
      <c r="B161" s="37" t="s">
        <v>302</v>
      </c>
      <c r="C161" s="74" t="s">
        <v>43</v>
      </c>
      <c r="D161" s="65" t="s">
        <v>300</v>
      </c>
      <c r="E161" s="79">
        <v>3</v>
      </c>
      <c r="F161" s="35" t="s">
        <v>149</v>
      </c>
      <c r="G161" s="81" t="s">
        <v>161</v>
      </c>
      <c r="H161" s="81"/>
      <c r="I161" s="81"/>
      <c r="J161" s="81" t="s">
        <v>602</v>
      </c>
      <c r="K161" s="37"/>
      <c r="L161" s="37"/>
      <c r="M161" s="37"/>
    </row>
    <row r="162" spans="1:13" s="31" customFormat="1">
      <c r="A162" s="65" t="s">
        <v>518</v>
      </c>
      <c r="B162" s="37" t="s">
        <v>302</v>
      </c>
      <c r="C162" s="74" t="s">
        <v>43</v>
      </c>
      <c r="D162" s="65" t="s">
        <v>300</v>
      </c>
      <c r="E162" s="79">
        <v>2</v>
      </c>
      <c r="F162" s="35" t="s">
        <v>149</v>
      </c>
      <c r="G162" s="81" t="s">
        <v>161</v>
      </c>
      <c r="H162" s="81"/>
      <c r="I162" s="81"/>
      <c r="J162" s="81" t="s">
        <v>602</v>
      </c>
      <c r="K162" s="37"/>
      <c r="L162" s="37"/>
      <c r="M162" s="37"/>
    </row>
    <row r="163" spans="1:13" s="31" customFormat="1">
      <c r="A163" s="65" t="s">
        <v>519</v>
      </c>
      <c r="B163" s="37" t="s">
        <v>302</v>
      </c>
      <c r="C163" s="74" t="s">
        <v>303</v>
      </c>
      <c r="D163" s="65" t="s">
        <v>300</v>
      </c>
      <c r="E163" s="79">
        <v>12</v>
      </c>
      <c r="F163" s="35" t="s">
        <v>149</v>
      </c>
      <c r="G163" s="81" t="s">
        <v>161</v>
      </c>
      <c r="H163" s="81"/>
      <c r="I163" s="81"/>
      <c r="J163" s="81" t="s">
        <v>602</v>
      </c>
      <c r="K163" s="37"/>
      <c r="L163" s="37"/>
      <c r="M163" s="37"/>
    </row>
    <row r="164" spans="1:13" s="31" customFormat="1">
      <c r="A164" s="65" t="s">
        <v>520</v>
      </c>
      <c r="B164" s="37" t="s">
        <v>302</v>
      </c>
      <c r="C164" s="74" t="s">
        <v>521</v>
      </c>
      <c r="D164" s="65" t="s">
        <v>300</v>
      </c>
      <c r="E164" s="79">
        <v>4</v>
      </c>
      <c r="F164" s="35" t="s">
        <v>149</v>
      </c>
      <c r="G164" s="81" t="s">
        <v>161</v>
      </c>
      <c r="H164" s="81"/>
      <c r="I164" s="81"/>
      <c r="J164" s="81" t="s">
        <v>602</v>
      </c>
      <c r="K164" s="37"/>
      <c r="L164" s="37"/>
      <c r="M164" s="37"/>
    </row>
    <row r="165" spans="1:13" s="31" customFormat="1">
      <c r="A165" s="65" t="s">
        <v>522</v>
      </c>
      <c r="B165" s="37" t="s">
        <v>302</v>
      </c>
      <c r="C165" s="74" t="s">
        <v>303</v>
      </c>
      <c r="D165" s="65" t="s">
        <v>300</v>
      </c>
      <c r="E165" s="79">
        <v>6</v>
      </c>
      <c r="F165" s="35" t="s">
        <v>149</v>
      </c>
      <c r="G165" s="81" t="s">
        <v>161</v>
      </c>
      <c r="H165" s="81"/>
      <c r="I165" s="81"/>
      <c r="J165" s="81" t="s">
        <v>602</v>
      </c>
      <c r="K165" s="37"/>
      <c r="L165" s="37"/>
      <c r="M165" s="37"/>
    </row>
    <row r="166" spans="1:13" s="31" customFormat="1">
      <c r="A166" s="65" t="s">
        <v>523</v>
      </c>
      <c r="B166" s="37" t="s">
        <v>302</v>
      </c>
      <c r="C166" s="74" t="s">
        <v>297</v>
      </c>
      <c r="D166" s="65" t="s">
        <v>300</v>
      </c>
      <c r="E166" s="79">
        <v>5</v>
      </c>
      <c r="F166" s="35" t="s">
        <v>149</v>
      </c>
      <c r="G166" s="81" t="s">
        <v>161</v>
      </c>
      <c r="H166" s="81"/>
      <c r="I166" s="81"/>
      <c r="J166" s="81" t="s">
        <v>604</v>
      </c>
      <c r="K166" s="37"/>
      <c r="L166" s="37"/>
      <c r="M166" s="37"/>
    </row>
    <row r="167" spans="1:13" s="31" customFormat="1">
      <c r="A167" s="65" t="s">
        <v>524</v>
      </c>
      <c r="B167" s="37" t="s">
        <v>302</v>
      </c>
      <c r="C167" s="74" t="s">
        <v>297</v>
      </c>
      <c r="D167" s="65" t="s">
        <v>300</v>
      </c>
      <c r="E167" s="79">
        <v>6</v>
      </c>
      <c r="F167" s="35" t="s">
        <v>149</v>
      </c>
      <c r="G167" s="81" t="s">
        <v>161</v>
      </c>
      <c r="H167" s="81"/>
      <c r="I167" s="81"/>
      <c r="J167" s="81" t="s">
        <v>577</v>
      </c>
      <c r="K167" s="37"/>
      <c r="L167" s="37"/>
      <c r="M167" s="37"/>
    </row>
    <row r="168" spans="1:13" s="31" customFormat="1">
      <c r="A168" s="65" t="s">
        <v>323</v>
      </c>
      <c r="B168" s="37" t="s">
        <v>302</v>
      </c>
      <c r="C168" s="74" t="s">
        <v>297</v>
      </c>
      <c r="D168" s="65" t="s">
        <v>300</v>
      </c>
      <c r="E168" s="79">
        <v>4</v>
      </c>
      <c r="F168" s="35" t="s">
        <v>149</v>
      </c>
      <c r="G168" s="81" t="s">
        <v>161</v>
      </c>
      <c r="H168" s="81"/>
      <c r="I168" s="81"/>
      <c r="J168" s="81" t="s">
        <v>604</v>
      </c>
      <c r="K168" s="37"/>
      <c r="L168" s="37"/>
      <c r="M168" s="37"/>
    </row>
    <row r="169" spans="1:13" s="31" customFormat="1">
      <c r="A169" s="65" t="s">
        <v>508</v>
      </c>
      <c r="B169" s="37" t="s">
        <v>302</v>
      </c>
      <c r="C169" s="74" t="s">
        <v>297</v>
      </c>
      <c r="D169" s="65" t="s">
        <v>300</v>
      </c>
      <c r="E169" s="79">
        <v>20</v>
      </c>
      <c r="F169" s="35" t="s">
        <v>149</v>
      </c>
      <c r="G169" s="81" t="s">
        <v>161</v>
      </c>
      <c r="H169" s="81"/>
      <c r="I169" s="81"/>
      <c r="J169" s="81" t="s">
        <v>577</v>
      </c>
      <c r="K169" s="37"/>
      <c r="L169" s="37"/>
      <c r="M169" s="37"/>
    </row>
    <row r="170" spans="1:13" s="31" customFormat="1">
      <c r="A170" s="65" t="s">
        <v>509</v>
      </c>
      <c r="B170" s="37" t="s">
        <v>302</v>
      </c>
      <c r="C170" s="74" t="s">
        <v>297</v>
      </c>
      <c r="D170" s="65" t="s">
        <v>300</v>
      </c>
      <c r="E170" s="79">
        <v>19</v>
      </c>
      <c r="F170" s="35" t="s">
        <v>149</v>
      </c>
      <c r="G170" s="81" t="s">
        <v>161</v>
      </c>
      <c r="H170" s="81"/>
      <c r="I170" s="81"/>
      <c r="J170" s="81" t="s">
        <v>577</v>
      </c>
      <c r="K170" s="37"/>
      <c r="L170" s="37"/>
      <c r="M170" s="37"/>
    </row>
    <row r="171" spans="1:13" s="31" customFormat="1">
      <c r="A171" s="65" t="s">
        <v>525</v>
      </c>
      <c r="B171" s="37" t="s">
        <v>302</v>
      </c>
      <c r="C171" s="74" t="s">
        <v>43</v>
      </c>
      <c r="D171" s="65" t="s">
        <v>300</v>
      </c>
      <c r="E171" s="79">
        <v>1</v>
      </c>
      <c r="F171" s="35" t="s">
        <v>149</v>
      </c>
      <c r="G171" s="81" t="s">
        <v>161</v>
      </c>
      <c r="H171" s="81"/>
      <c r="I171" s="81"/>
      <c r="J171" s="81" t="s">
        <v>572</v>
      </c>
      <c r="K171" s="37"/>
      <c r="L171" s="37"/>
      <c r="M171" s="37"/>
    </row>
    <row r="172" spans="1:13" s="31" customFormat="1">
      <c r="A172" s="65" t="s">
        <v>526</v>
      </c>
      <c r="B172" s="37" t="s">
        <v>302</v>
      </c>
      <c r="C172" s="74" t="s">
        <v>47</v>
      </c>
      <c r="D172" s="65" t="s">
        <v>300</v>
      </c>
      <c r="E172" s="79">
        <v>1</v>
      </c>
      <c r="F172" s="35" t="s">
        <v>149</v>
      </c>
      <c r="G172" s="81" t="s">
        <v>161</v>
      </c>
      <c r="H172" s="81"/>
      <c r="I172" s="81"/>
      <c r="J172" s="81" t="s">
        <v>572</v>
      </c>
      <c r="K172" s="37"/>
      <c r="L172" s="37"/>
      <c r="M172" s="37"/>
    </row>
    <row r="173" spans="1:13" s="31" customFormat="1">
      <c r="A173" s="65" t="s">
        <v>527</v>
      </c>
      <c r="B173" s="37" t="s">
        <v>302</v>
      </c>
      <c r="C173" s="74" t="s">
        <v>328</v>
      </c>
      <c r="D173" s="65" t="s">
        <v>300</v>
      </c>
      <c r="E173" s="79">
        <v>1</v>
      </c>
      <c r="F173" s="35" t="s">
        <v>149</v>
      </c>
      <c r="G173" s="81" t="s">
        <v>161</v>
      </c>
      <c r="H173" s="81"/>
      <c r="I173" s="81"/>
      <c r="J173" s="81" t="s">
        <v>572</v>
      </c>
      <c r="K173" s="37"/>
      <c r="L173" s="37"/>
      <c r="M173" s="37"/>
    </row>
    <row r="174" spans="1:13" s="31" customFormat="1">
      <c r="A174" s="65" t="s">
        <v>528</v>
      </c>
      <c r="B174" s="37" t="s">
        <v>302</v>
      </c>
      <c r="C174" s="74" t="s">
        <v>328</v>
      </c>
      <c r="D174" s="65" t="s">
        <v>300</v>
      </c>
      <c r="E174" s="79">
        <v>1</v>
      </c>
      <c r="F174" s="35" t="s">
        <v>149</v>
      </c>
      <c r="G174" s="81" t="s">
        <v>161</v>
      </c>
      <c r="H174" s="81"/>
      <c r="I174" s="81"/>
      <c r="J174" s="81" t="s">
        <v>572</v>
      </c>
      <c r="K174" s="37"/>
      <c r="L174" s="37"/>
      <c r="M174" s="37"/>
    </row>
    <row r="175" spans="1:13" s="31" customFormat="1">
      <c r="A175" s="65" t="s">
        <v>529</v>
      </c>
      <c r="B175" s="37" t="s">
        <v>530</v>
      </c>
      <c r="C175" s="74" t="s">
        <v>137</v>
      </c>
      <c r="D175" s="65" t="s">
        <v>559</v>
      </c>
      <c r="E175" s="79">
        <v>35</v>
      </c>
      <c r="F175" s="35" t="s">
        <v>149</v>
      </c>
      <c r="G175" s="81" t="s">
        <v>161</v>
      </c>
      <c r="H175" s="81"/>
      <c r="I175" s="81"/>
      <c r="J175" s="81" t="s">
        <v>605</v>
      </c>
      <c r="K175" s="37"/>
      <c r="L175" s="37"/>
      <c r="M175" s="37"/>
    </row>
    <row r="176" spans="1:13" s="31" customFormat="1">
      <c r="A176" s="65" t="s">
        <v>531</v>
      </c>
      <c r="B176" s="37" t="s">
        <v>532</v>
      </c>
      <c r="C176" s="74" t="s">
        <v>533</v>
      </c>
      <c r="D176" s="65" t="s">
        <v>560</v>
      </c>
      <c r="E176" s="79">
        <v>10</v>
      </c>
      <c r="F176" s="35" t="s">
        <v>149</v>
      </c>
      <c r="G176" s="81" t="s">
        <v>161</v>
      </c>
      <c r="H176" s="81"/>
      <c r="I176" s="81"/>
      <c r="J176" s="81" t="s">
        <v>584</v>
      </c>
      <c r="K176" s="37"/>
      <c r="L176" s="37"/>
      <c r="M176" s="37"/>
    </row>
    <row r="177" spans="1:13" s="31" customFormat="1">
      <c r="A177" s="65" t="s">
        <v>534</v>
      </c>
      <c r="B177" s="37" t="s">
        <v>532</v>
      </c>
      <c r="C177" s="74" t="s">
        <v>533</v>
      </c>
      <c r="D177" s="65" t="s">
        <v>560</v>
      </c>
      <c r="E177" s="79">
        <v>10</v>
      </c>
      <c r="F177" s="35" t="s">
        <v>149</v>
      </c>
      <c r="G177" s="81" t="s">
        <v>161</v>
      </c>
      <c r="H177" s="81"/>
      <c r="I177" s="81"/>
      <c r="J177" s="81" t="s">
        <v>584</v>
      </c>
      <c r="K177" s="37"/>
      <c r="L177" s="37"/>
      <c r="M177" s="37"/>
    </row>
    <row r="178" spans="1:13" s="31" customFormat="1">
      <c r="A178" s="65" t="s">
        <v>535</v>
      </c>
      <c r="B178" s="37" t="s">
        <v>532</v>
      </c>
      <c r="C178" s="74" t="s">
        <v>533</v>
      </c>
      <c r="D178" s="65" t="s">
        <v>560</v>
      </c>
      <c r="E178" s="79">
        <v>10</v>
      </c>
      <c r="F178" s="35" t="s">
        <v>149</v>
      </c>
      <c r="G178" s="81" t="s">
        <v>161</v>
      </c>
      <c r="H178" s="81"/>
      <c r="I178" s="81"/>
      <c r="J178" s="81" t="s">
        <v>584</v>
      </c>
      <c r="K178" s="37"/>
      <c r="L178" s="37"/>
      <c r="M178" s="37"/>
    </row>
    <row r="179" spans="1:13" s="31" customFormat="1">
      <c r="A179" s="65" t="s">
        <v>536</v>
      </c>
      <c r="B179" s="37" t="s">
        <v>532</v>
      </c>
      <c r="C179" s="74" t="s">
        <v>537</v>
      </c>
      <c r="D179" s="65" t="s">
        <v>560</v>
      </c>
      <c r="E179" s="79">
        <v>3</v>
      </c>
      <c r="F179" s="35" t="s">
        <v>149</v>
      </c>
      <c r="G179" s="81" t="s">
        <v>161</v>
      </c>
      <c r="H179" s="81"/>
      <c r="I179" s="81"/>
      <c r="J179" s="81" t="s">
        <v>584</v>
      </c>
      <c r="K179" s="37"/>
      <c r="L179" s="37"/>
      <c r="M179" s="37"/>
    </row>
    <row r="180" spans="1:13" s="31" customFormat="1">
      <c r="A180" s="65" t="s">
        <v>538</v>
      </c>
      <c r="B180" s="37" t="s">
        <v>532</v>
      </c>
      <c r="C180" s="74" t="s">
        <v>539</v>
      </c>
      <c r="D180" s="65" t="s">
        <v>560</v>
      </c>
      <c r="E180" s="79">
        <v>3</v>
      </c>
      <c r="F180" s="35" t="s">
        <v>149</v>
      </c>
      <c r="G180" s="81" t="s">
        <v>161</v>
      </c>
      <c r="H180" s="81"/>
      <c r="I180" s="81"/>
      <c r="J180" s="81" t="s">
        <v>584</v>
      </c>
      <c r="K180" s="37"/>
      <c r="L180" s="37"/>
      <c r="M180" s="37"/>
    </row>
    <row r="181" spans="1:13" s="31" customFormat="1">
      <c r="A181" s="65" t="s">
        <v>540</v>
      </c>
      <c r="B181" s="37" t="s">
        <v>541</v>
      </c>
      <c r="C181" s="74" t="s">
        <v>542</v>
      </c>
      <c r="D181" s="65" t="s">
        <v>561</v>
      </c>
      <c r="E181" s="79">
        <v>14</v>
      </c>
      <c r="F181" s="35" t="s">
        <v>149</v>
      </c>
      <c r="G181" s="81" t="s">
        <v>161</v>
      </c>
      <c r="H181" s="81"/>
      <c r="I181" s="81"/>
      <c r="J181" s="81" t="s">
        <v>604</v>
      </c>
      <c r="K181" s="37"/>
      <c r="L181" s="37"/>
      <c r="M181" s="37"/>
    </row>
    <row r="182" spans="1:13" s="31" customFormat="1">
      <c r="A182" s="65" t="s">
        <v>543</v>
      </c>
      <c r="B182" s="37" t="s">
        <v>330</v>
      </c>
      <c r="C182" s="74" t="s">
        <v>331</v>
      </c>
      <c r="D182" s="65" t="s">
        <v>549</v>
      </c>
      <c r="E182" s="79">
        <v>6</v>
      </c>
      <c r="F182" s="35" t="s">
        <v>149</v>
      </c>
      <c r="G182" s="81" t="s">
        <v>161</v>
      </c>
      <c r="H182" s="81"/>
      <c r="I182" s="81"/>
      <c r="J182" s="81" t="s">
        <v>583</v>
      </c>
      <c r="K182" s="37"/>
      <c r="L182" s="37"/>
      <c r="M182" s="37"/>
    </row>
    <row r="183" spans="1:13" s="31" customFormat="1">
      <c r="A183" s="65" t="s">
        <v>544</v>
      </c>
      <c r="B183" s="37" t="s">
        <v>330</v>
      </c>
      <c r="C183" s="74" t="s">
        <v>328</v>
      </c>
      <c r="D183" s="65" t="s">
        <v>549</v>
      </c>
      <c r="E183" s="79">
        <v>1</v>
      </c>
      <c r="F183" s="35" t="s">
        <v>149</v>
      </c>
      <c r="G183" s="81" t="s">
        <v>161</v>
      </c>
      <c r="H183" s="81"/>
      <c r="I183" s="81"/>
      <c r="J183" s="81" t="s">
        <v>579</v>
      </c>
      <c r="K183" s="37"/>
      <c r="L183" s="37"/>
      <c r="M183" s="37"/>
    </row>
    <row r="184" spans="1:13" s="31" customFormat="1">
      <c r="A184" s="65" t="s">
        <v>545</v>
      </c>
      <c r="B184" s="37" t="s">
        <v>330</v>
      </c>
      <c r="C184" s="74" t="s">
        <v>328</v>
      </c>
      <c r="D184" s="65" t="s">
        <v>549</v>
      </c>
      <c r="E184" s="79">
        <v>1</v>
      </c>
      <c r="F184" s="35" t="s">
        <v>149</v>
      </c>
      <c r="G184" s="81" t="s">
        <v>161</v>
      </c>
      <c r="H184" s="81"/>
      <c r="I184" s="81"/>
      <c r="J184" s="81" t="s">
        <v>579</v>
      </c>
      <c r="K184" s="37"/>
      <c r="L184" s="37"/>
      <c r="M184" s="37"/>
    </row>
  </sheetData>
  <phoneticPr fontId="4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使用说明</vt:lpstr>
      <vt:lpstr>采购订单导入</vt:lpstr>
      <vt:lpstr>Sheet2</vt:lpstr>
      <vt:lpstr>Sheet1</vt:lpstr>
      <vt:lpstr>Sheet3</vt:lpstr>
      <vt:lpstr>Sheet4</vt:lpstr>
      <vt:lpstr>Sheet5</vt:lpstr>
      <vt:lpstr>采购订单导入!Print_Area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ThinkPad</dc:creator>
  <cp:lastModifiedBy>Zeho Lee</cp:lastModifiedBy>
  <cp:lastPrinted>2019-06-21T03:20:12Z</cp:lastPrinted>
  <dcterms:created xsi:type="dcterms:W3CDTF">2010-09-27T06:21:54Z</dcterms:created>
  <dcterms:modified xsi:type="dcterms:W3CDTF">2019-08-01T06:11:56Z</dcterms:modified>
</cp:coreProperties>
</file>